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opayana\Downloads\"/>
    </mc:Choice>
  </mc:AlternateContent>
  <xr:revisionPtr revIDLastSave="0" documentId="13_ncr:1_{5A1197EB-4052-444E-86A8-8D7F4D4A87CE}" xr6:coauthVersionLast="47" xr6:coauthVersionMax="47" xr10:uidLastSave="{00000000-0000-0000-0000-000000000000}"/>
  <bookViews>
    <workbookView xWindow="-120" yWindow="-120" windowWidth="20730" windowHeight="11760" activeTab="7" xr2:uid="{00000000-000D-0000-FFFF-FFFF00000000}"/>
  </bookViews>
  <sheets>
    <sheet name="Instruksi" sheetId="1" r:id="rId1"/>
    <sheet name="Trial 1" sheetId="2" r:id="rId2"/>
    <sheet name="Trial 2" sheetId="3" r:id="rId3"/>
    <sheet name="Trial 3" sheetId="4" r:id="rId4"/>
    <sheet name="Trial 4" sheetId="5" r:id="rId5"/>
    <sheet name="Database" sheetId="7" r:id="rId6"/>
    <sheet name="Trial 5" sheetId="9" r:id="rId7"/>
    <sheet name="3 &amp; 4 Jawaban" sheetId="12" r:id="rId8"/>
  </sheets>
  <definedNames>
    <definedName name="_xlnm._FilterDatabase" localSheetId="5" hidden="1">Database!$A$1:$Q$253</definedName>
  </definedNames>
  <calcPr calcId="191029"/>
  <pivotCaches>
    <pivotCache cacheId="10" r:id="rId9"/>
  </pivotCaches>
</workbook>
</file>

<file path=xl/calcChain.xml><?xml version="1.0" encoding="utf-8"?>
<calcChain xmlns="http://schemas.openxmlformats.org/spreadsheetml/2006/main">
  <c r="C34" i="9" l="1"/>
  <c r="C33" i="9"/>
  <c r="C32" i="9"/>
  <c r="C31" i="9"/>
  <c r="C36" i="9" s="1"/>
  <c r="D13" i="9"/>
  <c r="D12" i="9"/>
  <c r="D20" i="9"/>
  <c r="D19" i="9"/>
  <c r="D18" i="9"/>
  <c r="D17" i="9"/>
  <c r="D16" i="9"/>
  <c r="D15" i="9"/>
  <c r="D14" i="9"/>
  <c r="D11" i="9"/>
  <c r="D10" i="9"/>
  <c r="K21" i="5"/>
  <c r="J6" i="5"/>
  <c r="J7" i="5"/>
  <c r="J8" i="5"/>
  <c r="J9" i="5"/>
  <c r="K9" i="5" s="1"/>
  <c r="J10" i="5"/>
  <c r="J11" i="5"/>
  <c r="J12" i="5"/>
  <c r="J13" i="5"/>
  <c r="K13" i="5" s="1"/>
  <c r="J14" i="5"/>
  <c r="J15" i="5"/>
  <c r="J16" i="5"/>
  <c r="J17" i="5"/>
  <c r="K17" i="5" s="1"/>
  <c r="J18" i="5"/>
  <c r="J19" i="5"/>
  <c r="J5" i="5"/>
  <c r="K5" i="5"/>
  <c r="K7" i="5"/>
  <c r="K8" i="5"/>
  <c r="K11" i="5"/>
  <c r="K12" i="5"/>
  <c r="K15" i="5"/>
  <c r="K16" i="5"/>
  <c r="K19" i="5"/>
  <c r="K6" i="5"/>
  <c r="K10" i="5"/>
  <c r="K14" i="5"/>
  <c r="K18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5" i="5"/>
  <c r="G3" i="4"/>
  <c r="G4" i="4"/>
  <c r="G5" i="4"/>
  <c r="G2" i="4"/>
  <c r="F3" i="4"/>
  <c r="F4" i="4"/>
  <c r="F5" i="4"/>
  <c r="F2" i="4"/>
  <c r="E3" i="4"/>
  <c r="E4" i="4"/>
  <c r="E5" i="4"/>
  <c r="E2" i="4"/>
  <c r="B7" i="3"/>
  <c r="B6" i="3"/>
  <c r="B4" i="3"/>
  <c r="B3" i="3"/>
  <c r="B5" i="3"/>
  <c r="B2" i="3"/>
  <c r="I3" i="2"/>
  <c r="I4" i="2"/>
  <c r="I5" i="2"/>
  <c r="I6" i="2"/>
  <c r="I2" i="2"/>
  <c r="C16" i="2"/>
  <c r="C15" i="2"/>
  <c r="C17" i="2"/>
  <c r="C14" i="2"/>
  <c r="C13" i="2"/>
  <c r="C12" i="2"/>
  <c r="G3" i="2"/>
  <c r="G4" i="2"/>
  <c r="G5" i="2"/>
  <c r="G6" i="2"/>
  <c r="H6" i="2" s="1"/>
  <c r="H3" i="2"/>
  <c r="H4" i="2"/>
  <c r="H5" i="2"/>
  <c r="H2" i="2"/>
  <c r="G2" i="2"/>
  <c r="F3" i="2"/>
  <c r="F4" i="2"/>
  <c r="F5" i="2"/>
  <c r="F6" i="2"/>
  <c r="F2" i="2"/>
  <c r="M19" i="5"/>
  <c r="I2" i="4"/>
  <c r="D2" i="3"/>
  <c r="K2" i="2"/>
  <c r="D22" i="9" l="1"/>
  <c r="D21" i="9"/>
  <c r="K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58" authorId="0" shapeId="0" xr:uid="{00000000-0006-0000-0600-000001000000}">
      <text>
        <r>
          <rPr>
            <sz val="11"/>
            <color theme="1"/>
            <rFont val="Calibri"/>
            <family val="2"/>
          </rPr>
          <t>Mutasi MTC ke WJ1 per 1 Mar 2022</t>
        </r>
      </text>
    </comment>
    <comment ref="G458" authorId="0" shapeId="0" xr:uid="{00000000-0006-0000-0600-000002000000}">
      <text>
        <r>
          <rPr>
            <sz val="11"/>
            <color theme="1"/>
            <rFont val="Calibri"/>
            <family val="2"/>
          </rPr>
          <t>Mutasi MTC ke WJ1 per 1 Mar 2022</t>
        </r>
      </text>
    </comment>
  </commentList>
</comments>
</file>

<file path=xl/sharedStrings.xml><?xml version="1.0" encoding="utf-8"?>
<sst xmlns="http://schemas.openxmlformats.org/spreadsheetml/2006/main" count="3028" uniqueCount="739">
  <si>
    <t>Harap perhatikan instruksi berikut untuk pengerjaan tes excel ini :</t>
  </si>
  <si>
    <t>a. Untuk bagian yang berwarna kuning, harap dilengkapi</t>
  </si>
  <si>
    <t>b. Seluruh bagian yang perlu dilengkapi, wajib menggunakan RUMUS</t>
  </si>
  <si>
    <t>Nama Karyawan/ti</t>
  </si>
  <si>
    <t>L/P</t>
  </si>
  <si>
    <t>Omset - Bulan 1</t>
  </si>
  <si>
    <t>Omset - Bulan 2</t>
  </si>
  <si>
    <t>Omset - Bulan 3</t>
  </si>
  <si>
    <t>Total Omset</t>
  </si>
  <si>
    <t>Rata-rata Omset</t>
  </si>
  <si>
    <t>Status</t>
  </si>
  <si>
    <t>Peringkat</t>
  </si>
  <si>
    <t>Score</t>
  </si>
  <si>
    <t>Hendrik</t>
  </si>
  <si>
    <t>L</t>
  </si>
  <si>
    <t>Intan</t>
  </si>
  <si>
    <t>Habibah</t>
  </si>
  <si>
    <t>P</t>
  </si>
  <si>
    <t>Asep</t>
  </si>
  <si>
    <t>Andy</t>
  </si>
  <si>
    <t>Catatan</t>
  </si>
  <si>
    <t>Lulus</t>
  </si>
  <si>
    <t>Rata2 omzet &gt; 15.000.000</t>
  </si>
  <si>
    <t>Tidak lulus</t>
  </si>
  <si>
    <t>Rata2 omzet 15.000.000 atau kurang</t>
  </si>
  <si>
    <t>Banyaknya karyawan (L+P)</t>
  </si>
  <si>
    <t>Omset paling tinggi</t>
  </si>
  <si>
    <t>Omset paling rendah</t>
  </si>
  <si>
    <t>Jumlah omset karyawan</t>
  </si>
  <si>
    <t>Jumlah omset karyawati</t>
  </si>
  <si>
    <t>Banyaknya pegawai yang lulus</t>
  </si>
  <si>
    <t>Berantakan</t>
  </si>
  <si>
    <t xml:space="preserve">SasA   SaNtaN,      SANtan TerINDAH     </t>
  </si>
  <si>
    <t>Rapikan spasi</t>
  </si>
  <si>
    <t>Seragamkan huruf (kecil semua)</t>
  </si>
  <si>
    <t>Seragamkan huruf (besar semua)</t>
  </si>
  <si>
    <t>Huruf besar di awal kata</t>
  </si>
  <si>
    <t>Spasi Rapi dan Huruf besar di awal setiap kata</t>
  </si>
  <si>
    <t>Spasi Rapi dan Huruf besar di awal kalimat</t>
  </si>
  <si>
    <t>Divisi</t>
  </si>
  <si>
    <t>Nama Karyawan</t>
  </si>
  <si>
    <t>NIK</t>
  </si>
  <si>
    <t>Tahun Lahir</t>
  </si>
  <si>
    <t>ID Karyawan</t>
  </si>
  <si>
    <t>Panjang Nama</t>
  </si>
  <si>
    <t>Kode Area</t>
  </si>
  <si>
    <t>HR</t>
  </si>
  <si>
    <t>Putri</t>
  </si>
  <si>
    <t>1234560101810001</t>
  </si>
  <si>
    <t>Finance</t>
  </si>
  <si>
    <t>Zahra</t>
  </si>
  <si>
    <t>2885670208980002</t>
  </si>
  <si>
    <t>Sales</t>
  </si>
  <si>
    <t>Suci</t>
  </si>
  <si>
    <t>1398780204560003</t>
  </si>
  <si>
    <t>Lulu</t>
  </si>
  <si>
    <t>4561231912900004</t>
  </si>
  <si>
    <t>Soal</t>
  </si>
  <si>
    <r>
      <t xml:space="preserve">1. Buatlah ID karyawan dengan format </t>
    </r>
    <r>
      <rPr>
        <b/>
        <sz val="11"/>
        <color theme="1"/>
        <rFont val="Calibri"/>
        <family val="2"/>
        <scheme val="minor"/>
      </rPr>
      <t>Divisi-Nama Karyawan-Tahun Lahir</t>
    </r>
  </si>
  <si>
    <t>2. Hitunglah panjang dari masing masing karyawan</t>
  </si>
  <si>
    <t>3. Masukkan kode area dengan memasukkan 3 karakter pertama dari NIK</t>
  </si>
  <si>
    <t>Daftar Penjualan 3 Hari Terakhir
PT Duta Generasi Mandiri</t>
  </si>
  <si>
    <t>No</t>
  </si>
  <si>
    <t>Tanggal</t>
  </si>
  <si>
    <t>Kode Pelanggan</t>
  </si>
  <si>
    <t>Nama Pelanggan</t>
  </si>
  <si>
    <t>Kode Produk</t>
  </si>
  <si>
    <t>Nama Produk</t>
  </si>
  <si>
    <t>Qty</t>
  </si>
  <si>
    <t>Harga Satuan</t>
  </si>
  <si>
    <t>Total Penjualan</t>
  </si>
  <si>
    <t>Diskon</t>
  </si>
  <si>
    <t>Penjualan Bersih</t>
  </si>
  <si>
    <t>CL-02</t>
  </si>
  <si>
    <t>S-01</t>
  </si>
  <si>
    <t>Kode</t>
  </si>
  <si>
    <t>Nama</t>
  </si>
  <si>
    <t>CL-01</t>
  </si>
  <si>
    <t>PS-02</t>
  </si>
  <si>
    <t>PT. Catur Mitra Sejati Sentosa</t>
  </si>
  <si>
    <t>C-01</t>
  </si>
  <si>
    <t>PT. Graha Informatika Nusantara</t>
  </si>
  <si>
    <t>CR-05</t>
  </si>
  <si>
    <t>CL-03</t>
  </si>
  <si>
    <t>PT. Payfazz Teknologi Nusantara</t>
  </si>
  <si>
    <t>HR Management System</t>
  </si>
  <si>
    <t>Payroll Software</t>
  </si>
  <si>
    <t>Cloud Storage 1 TB</t>
  </si>
  <si>
    <t>CRM Tools</t>
  </si>
  <si>
    <t>Total</t>
  </si>
  <si>
    <t>Rata Rata Penjualan Harian</t>
  </si>
  <si>
    <t>Isi Nama Pelanggan, Nama Produk, Harga Satuan (Gunakan kode VLOOKUP)</t>
  </si>
  <si>
    <t>Isi Total Penjualan (Rumus Perkalian)</t>
  </si>
  <si>
    <t>Jika qty pembelian diatas 200, maka diskon 10%, jika diatas 500, maka 20% (Gunakan Rumus IF)</t>
  </si>
  <si>
    <t>Isi Penjualan Bersih (Rumus Perkalian)</t>
  </si>
  <si>
    <t>Totalkan semua Qty dan Penjualan Bersih (, dan Rata Rata kan (Rumus Pembagian).</t>
  </si>
  <si>
    <t>NO</t>
  </si>
  <si>
    <t>COMPANY</t>
  </si>
  <si>
    <t>NAME EMPLOYEE</t>
  </si>
  <si>
    <t>LEVEL</t>
  </si>
  <si>
    <t>AREA</t>
  </si>
  <si>
    <t>REGION</t>
  </si>
  <si>
    <t>DIVISION</t>
  </si>
  <si>
    <t>KATEGORI</t>
  </si>
  <si>
    <t>TYPE</t>
  </si>
  <si>
    <t>SUBJECT</t>
  </si>
  <si>
    <t>Year</t>
  </si>
  <si>
    <t>Month</t>
  </si>
  <si>
    <t>START_DATE</t>
  </si>
  <si>
    <t>END_DATE</t>
  </si>
  <si>
    <t>Jam Training</t>
  </si>
  <si>
    <t>VENDOR</t>
  </si>
  <si>
    <t>DGM</t>
  </si>
  <si>
    <t>06338</t>
  </si>
  <si>
    <t>KAIFA PUTRI</t>
  </si>
  <si>
    <t>PERSON IN CHARGE</t>
  </si>
  <si>
    <t>BANTEN</t>
  </si>
  <si>
    <t>West</t>
  </si>
  <si>
    <t>SALES</t>
  </si>
  <si>
    <t>Internal</t>
  </si>
  <si>
    <t>Training</t>
  </si>
  <si>
    <t>Refreshment - Sales &amp; Distribution Training</t>
  </si>
  <si>
    <t>Feb</t>
  </si>
  <si>
    <t>11141</t>
  </si>
  <si>
    <t>FIDEL FIKRO</t>
  </si>
  <si>
    <t>06044</t>
  </si>
  <si>
    <t>FERI ARDIANSYAH</t>
  </si>
  <si>
    <t>10766</t>
  </si>
  <si>
    <t>ZANESTI VETI FIRANDA</t>
  </si>
  <si>
    <t>11639</t>
  </si>
  <si>
    <t>RENY MIFTA</t>
  </si>
  <si>
    <t>03312</t>
  </si>
  <si>
    <t>TEUKU RENDI</t>
  </si>
  <si>
    <t>11727</t>
  </si>
  <si>
    <t>DEDE ISMAIL</t>
  </si>
  <si>
    <t>10713</t>
  </si>
  <si>
    <t>EDY TRIYONO</t>
  </si>
  <si>
    <t>06337</t>
  </si>
  <si>
    <t>ALI GONZALES</t>
  </si>
  <si>
    <t>10870</t>
  </si>
  <si>
    <t>DONA DONI</t>
  </si>
  <si>
    <t>13483</t>
  </si>
  <si>
    <t>DESTA IRWANSYAH</t>
  </si>
  <si>
    <t>11730</t>
  </si>
  <si>
    <t>MUSTAMAR</t>
  </si>
  <si>
    <t>BEKASI</t>
  </si>
  <si>
    <t>11385</t>
  </si>
  <si>
    <t>M. NURKHADIG</t>
  </si>
  <si>
    <t>13702</t>
  </si>
  <si>
    <t>NARYO SUNARTO</t>
  </si>
  <si>
    <t>03170</t>
  </si>
  <si>
    <t>SUNARSO RENDRA</t>
  </si>
  <si>
    <t>03988</t>
  </si>
  <si>
    <t>RITA AMALIA</t>
  </si>
  <si>
    <t>04144</t>
  </si>
  <si>
    <t>SILVIA KUSUMADEWI</t>
  </si>
  <si>
    <t>13422</t>
  </si>
  <si>
    <t>EDI JULIANTO</t>
  </si>
  <si>
    <t>05297</t>
  </si>
  <si>
    <t>DONGAN SULTON SILALAHI</t>
  </si>
  <si>
    <t>HR &amp; GA SUPERVISOR</t>
  </si>
  <si>
    <t>BOGOR</t>
  </si>
  <si>
    <t>09304</t>
  </si>
  <si>
    <t>RAYHAN MARCELIAN</t>
  </si>
  <si>
    <t>PJS - FIELD SALES SUPERVISOR</t>
  </si>
  <si>
    <t>10722</t>
  </si>
  <si>
    <t>NORMAN KAMERUN</t>
  </si>
  <si>
    <t>04160</t>
  </si>
  <si>
    <t>NOVITA ANGELINA</t>
  </si>
  <si>
    <t>FIELD SALES SUPERVISOR</t>
  </si>
  <si>
    <t>02923</t>
  </si>
  <si>
    <t>ASEP ROHMAN HIDAYAT</t>
  </si>
  <si>
    <t>10372</t>
  </si>
  <si>
    <t>MARCELLA ELISABETH</t>
  </si>
  <si>
    <t>03533</t>
  </si>
  <si>
    <t>DEBORA CRISTIEN</t>
  </si>
  <si>
    <t>DKI</t>
  </si>
  <si>
    <t>11051</t>
  </si>
  <si>
    <t>NURDINSYAH</t>
  </si>
  <si>
    <t>10316</t>
  </si>
  <si>
    <t>RICHO ARIO WIBOWO</t>
  </si>
  <si>
    <t>03503</t>
  </si>
  <si>
    <t>AKBAR GAHARA PUTRA</t>
  </si>
  <si>
    <t>05152</t>
  </si>
  <si>
    <t>FEBIONA FELICIA SUSETYA</t>
  </si>
  <si>
    <t>11021</t>
  </si>
  <si>
    <t>DEDEN MARYANTO</t>
  </si>
  <si>
    <t>11055</t>
  </si>
  <si>
    <t>KARENINA HAPSARI</t>
  </si>
  <si>
    <t>03324</t>
  </si>
  <si>
    <t>NEHEMIA KELVIN</t>
  </si>
  <si>
    <t>04876</t>
  </si>
  <si>
    <t>MARCELLA FIONA</t>
  </si>
  <si>
    <t>13974</t>
  </si>
  <si>
    <t>SOFIA MARIA SUGI</t>
  </si>
  <si>
    <t>10082</t>
  </si>
  <si>
    <t>DENI SATRIA BUDI</t>
  </si>
  <si>
    <t>CENTRAL JAVA 1</t>
  </si>
  <si>
    <t>Central</t>
  </si>
  <si>
    <t>03282</t>
  </si>
  <si>
    <t>ARYA KAMAN</t>
  </si>
  <si>
    <t>13967</t>
  </si>
  <si>
    <t>PRIMADINDA WAHYU</t>
  </si>
  <si>
    <t>13396</t>
  </si>
  <si>
    <t>NANANG PAMUNGKAS</t>
  </si>
  <si>
    <t>13662</t>
  </si>
  <si>
    <t>ALIKA TRULY</t>
  </si>
  <si>
    <t>10658</t>
  </si>
  <si>
    <t>RAIHAN RAMADHAN</t>
  </si>
  <si>
    <t>14055</t>
  </si>
  <si>
    <t>ANINDHITYA SRI</t>
  </si>
  <si>
    <t>03842</t>
  </si>
  <si>
    <t>NURLITA HIDAYAH</t>
  </si>
  <si>
    <t>10338</t>
  </si>
  <si>
    <t>AFNAN RIYADI</t>
  </si>
  <si>
    <t>CENTRAL JAVA 2</t>
  </si>
  <si>
    <t>10990</t>
  </si>
  <si>
    <t>SENTOT ALI</t>
  </si>
  <si>
    <t>04049</t>
  </si>
  <si>
    <t>DIVA VALENSIA</t>
  </si>
  <si>
    <t>10235</t>
  </si>
  <si>
    <t>DWI NUR INDRIYANI</t>
  </si>
  <si>
    <t>11656</t>
  </si>
  <si>
    <t>ALBERTO MAMAN</t>
  </si>
  <si>
    <t>04053</t>
  </si>
  <si>
    <t>MELA ARUM AGUSTINA</t>
  </si>
  <si>
    <t>10234</t>
  </si>
  <si>
    <t>ALBERT MAHESA</t>
  </si>
  <si>
    <t>04061</t>
  </si>
  <si>
    <t>INTAN PUTRI APRILIYANI</t>
  </si>
  <si>
    <t>10975</t>
  </si>
  <si>
    <t>KAHFY ALAMSYAH</t>
  </si>
  <si>
    <t>04776</t>
  </si>
  <si>
    <t>HOSEN MAHESA</t>
  </si>
  <si>
    <t>06056</t>
  </si>
  <si>
    <t>ALFIAN DANI</t>
  </si>
  <si>
    <t>03836</t>
  </si>
  <si>
    <t>ANDRA JUNAEDI</t>
  </si>
  <si>
    <t>WEST JAVA 1</t>
  </si>
  <si>
    <t>10218</t>
  </si>
  <si>
    <t>REGINA EVELINE</t>
  </si>
  <si>
    <t>13625</t>
  </si>
  <si>
    <t>BUDIYANTO ARYA</t>
  </si>
  <si>
    <t>05060</t>
  </si>
  <si>
    <t>AURELIYA AMESTIKA</t>
  </si>
  <si>
    <t>09103</t>
  </si>
  <si>
    <t>RENDI HADI</t>
  </si>
  <si>
    <t>07002</t>
  </si>
  <si>
    <t>RIO THOMAS</t>
  </si>
  <si>
    <t>03248</t>
  </si>
  <si>
    <t>NUR AHMAD</t>
  </si>
  <si>
    <t>03300</t>
  </si>
  <si>
    <t>MUCHAMMAD RIFAI</t>
  </si>
  <si>
    <t>04377</t>
  </si>
  <si>
    <t>GUNAWAN</t>
  </si>
  <si>
    <t>10335</t>
  </si>
  <si>
    <t>HADI PASAK BANTALA</t>
  </si>
  <si>
    <t>WEST JAVA 2</t>
  </si>
  <si>
    <t>09571</t>
  </si>
  <si>
    <t>NATHAN WIDODO</t>
  </si>
  <si>
    <t>10578</t>
  </si>
  <si>
    <t>KURNIA YUSUF ARI</t>
  </si>
  <si>
    <t>11064</t>
  </si>
  <si>
    <t>ANDRA RAMADHAN</t>
  </si>
  <si>
    <t>04215</t>
  </si>
  <si>
    <t>WAHYU DWI HARYANTO</t>
  </si>
  <si>
    <t>06081</t>
  </si>
  <si>
    <t>RIKO GALAKSI</t>
  </si>
  <si>
    <t>03303</t>
  </si>
  <si>
    <t>ERWIN PRASETYO</t>
  </si>
  <si>
    <t>EAST JAVA 1</t>
  </si>
  <si>
    <t>East</t>
  </si>
  <si>
    <t>13380</t>
  </si>
  <si>
    <t>ZOLA MENDETEGA</t>
  </si>
  <si>
    <t>09598</t>
  </si>
  <si>
    <t>LEONARDO BARA PAMUNGKAS</t>
  </si>
  <si>
    <t>03447</t>
  </si>
  <si>
    <t>PASHA SETIAWAN</t>
  </si>
  <si>
    <t>13475</t>
  </si>
  <si>
    <t>ARIEL SETIAWAN</t>
  </si>
  <si>
    <t>10267</t>
  </si>
  <si>
    <t>ALDO SURYODIMAS</t>
  </si>
  <si>
    <t>10136</t>
  </si>
  <si>
    <t>REVIVO ONIX</t>
  </si>
  <si>
    <t>05976</t>
  </si>
  <si>
    <t>FAIZ SYUKRI</t>
  </si>
  <si>
    <t>05984</t>
  </si>
  <si>
    <t>DEVINA SALSA</t>
  </si>
  <si>
    <t>10688</t>
  </si>
  <si>
    <t>DAVID SITANGGANG</t>
  </si>
  <si>
    <t>WEST SUBDIST</t>
  </si>
  <si>
    <t>14022</t>
  </si>
  <si>
    <t>GRABELLA MARANTA</t>
  </si>
  <si>
    <t>OIW 1</t>
  </si>
  <si>
    <t>OIW</t>
  </si>
  <si>
    <t>13586</t>
  </si>
  <si>
    <t>BIMA SANJAYA</t>
  </si>
  <si>
    <t>13471</t>
  </si>
  <si>
    <t>BIMA PUTRA ADITIYA</t>
  </si>
  <si>
    <t>11476</t>
  </si>
  <si>
    <t>TIARA MONIKASANI</t>
  </si>
  <si>
    <t>13488</t>
  </si>
  <si>
    <t>LARAS MUKTI WARDANI</t>
  </si>
  <si>
    <t>13665</t>
  </si>
  <si>
    <t>INDRA KELANA SAPUTRA</t>
  </si>
  <si>
    <t>OIW 2</t>
  </si>
  <si>
    <t>10992</t>
  </si>
  <si>
    <t>TEGAR AKHIRUL</t>
  </si>
  <si>
    <t>10459</t>
  </si>
  <si>
    <t>RONI IRWANSYAH</t>
  </si>
  <si>
    <t>13370</t>
  </si>
  <si>
    <t>ANTON SUGINO</t>
  </si>
  <si>
    <t>11595</t>
  </si>
  <si>
    <t>SUWITO WIRIAWAN</t>
  </si>
  <si>
    <t>10589</t>
  </si>
  <si>
    <t>IRVAN MEILANO</t>
  </si>
  <si>
    <t>10096</t>
  </si>
  <si>
    <t>SUYATNO WIJAYA</t>
  </si>
  <si>
    <t>13481</t>
  </si>
  <si>
    <t>ZAINAL ARIEF</t>
  </si>
  <si>
    <t>10116</t>
  </si>
  <si>
    <t>FERDINAN MAHESA PUTRA</t>
  </si>
  <si>
    <t>05479</t>
  </si>
  <si>
    <t>ANDREW SUPARMAN</t>
  </si>
  <si>
    <t>OIW 3</t>
  </si>
  <si>
    <t>11713</t>
  </si>
  <si>
    <t>FITRIAN KANA</t>
  </si>
  <si>
    <t>11469</t>
  </si>
  <si>
    <t>DODI CHRISTOPHER</t>
  </si>
  <si>
    <t>13480</t>
  </si>
  <si>
    <t>IRFAN DANU</t>
  </si>
  <si>
    <t>05779</t>
  </si>
  <si>
    <t>ALFANO PURWA</t>
  </si>
  <si>
    <t>13513</t>
  </si>
  <si>
    <t>TOMMY  ARIYADI</t>
  </si>
  <si>
    <t>10571</t>
  </si>
  <si>
    <t>MEGATHEO BARNESTA</t>
  </si>
  <si>
    <t>CENTRAL SUBDIST</t>
  </si>
  <si>
    <t>13476</t>
  </si>
  <si>
    <t>RANGGA WAHYU JATI</t>
  </si>
  <si>
    <t>10339</t>
  </si>
  <si>
    <t>DHIMAS ADI PRASETYA</t>
  </si>
  <si>
    <t>09466</t>
  </si>
  <si>
    <t>TAUFIQ KURNIAWAN</t>
  </si>
  <si>
    <t>13470</t>
  </si>
  <si>
    <t>ROFI KHASAN</t>
  </si>
  <si>
    <t>14012</t>
  </si>
  <si>
    <t>SUGIONO</t>
  </si>
  <si>
    <t>10122</t>
  </si>
  <si>
    <t>ERWIN KURNIAWAN</t>
  </si>
  <si>
    <t>09105</t>
  </si>
  <si>
    <t>JOKO SUSANTO</t>
  </si>
  <si>
    <t>10584</t>
  </si>
  <si>
    <t>DEWA KUSUMA</t>
  </si>
  <si>
    <t>EAST SUBDIST</t>
  </si>
  <si>
    <t>14082</t>
  </si>
  <si>
    <t>ARMAN SETIAWAN</t>
  </si>
  <si>
    <t>14083</t>
  </si>
  <si>
    <t>ADI JUWARNO</t>
  </si>
  <si>
    <t>13548</t>
  </si>
  <si>
    <t>RENATA AMANATUL LESTARI</t>
  </si>
  <si>
    <t>10902</t>
  </si>
  <si>
    <t>SUNARTO SANJAYA</t>
  </si>
  <si>
    <t>05975</t>
  </si>
  <si>
    <t>FAJAR IMANTO RENAH</t>
  </si>
  <si>
    <t>04818</t>
  </si>
  <si>
    <t>MUNSHIFIN</t>
  </si>
  <si>
    <t>11467</t>
  </si>
  <si>
    <t>ADITYA WAHYU RIZKI</t>
  </si>
  <si>
    <t>13642</t>
  </si>
  <si>
    <t>BAGUS SAPUTRA</t>
  </si>
  <si>
    <t>OIE 1</t>
  </si>
  <si>
    <t>OIE</t>
  </si>
  <si>
    <t>13675</t>
  </si>
  <si>
    <t>ELVINA YANTI</t>
  </si>
  <si>
    <t>OIE 2</t>
  </si>
  <si>
    <t>13350</t>
  </si>
  <si>
    <t>KRISMAN HADINATA</t>
  </si>
  <si>
    <t>13368</t>
  </si>
  <si>
    <t>DORI SUPARMAN</t>
  </si>
  <si>
    <t>10577</t>
  </si>
  <si>
    <t>ANGGITA DEVY AGUSTIN</t>
  </si>
  <si>
    <t>OIE 3</t>
  </si>
  <si>
    <t>03188</t>
  </si>
  <si>
    <t>DODI DARMAWAN</t>
  </si>
  <si>
    <t>13522</t>
  </si>
  <si>
    <t>ANNISA WIDYA SALMA</t>
  </si>
  <si>
    <t>13666</t>
  </si>
  <si>
    <t>BAGAS FERRY FERNANDY</t>
  </si>
  <si>
    <t>10575</t>
  </si>
  <si>
    <t>BUNGA WETANTRI</t>
  </si>
  <si>
    <t>13573</t>
  </si>
  <si>
    <t>APRIL LIDYAWATI</t>
  </si>
  <si>
    <t>11720</t>
  </si>
  <si>
    <t>CATUR WIJI PAMUNGKAS</t>
  </si>
  <si>
    <t>10507</t>
  </si>
  <si>
    <t>ELISA MAULID DIYANTI</t>
  </si>
  <si>
    <t>13373</t>
  </si>
  <si>
    <t>EKA NUR AULIA</t>
  </si>
  <si>
    <t>13534</t>
  </si>
  <si>
    <t>ERLINA EKA SAFITRI</t>
  </si>
  <si>
    <t>13643</t>
  </si>
  <si>
    <t>HENI DWI INDRIANIN</t>
  </si>
  <si>
    <t>10225</t>
  </si>
  <si>
    <t>ALI NURDIN</t>
  </si>
  <si>
    <t>03949</t>
  </si>
  <si>
    <t>NOVIA AMANDA YULIANTI</t>
  </si>
  <si>
    <t>AREA SALES MANAGER</t>
  </si>
  <si>
    <t>Sales &amp; Distribution Advance Training</t>
  </si>
  <si>
    <t>March</t>
  </si>
  <si>
    <t>10279</t>
  </si>
  <si>
    <t>KARYOTO SUJONO</t>
  </si>
  <si>
    <t>13576</t>
  </si>
  <si>
    <t>NUGRAHENI NUR</t>
  </si>
  <si>
    <t>10315</t>
  </si>
  <si>
    <t>SUTRISNO</t>
  </si>
  <si>
    <t>PJS AREA SALES MANAGER</t>
  </si>
  <si>
    <t>04976</t>
  </si>
  <si>
    <t>PUJI LESTARI</t>
  </si>
  <si>
    <t>04082</t>
  </si>
  <si>
    <t>ENDANG SETIAWAN</t>
  </si>
  <si>
    <t>03816</t>
  </si>
  <si>
    <t>SEKAR GAYATRI</t>
  </si>
  <si>
    <t>10410</t>
  </si>
  <si>
    <t>SHOLEH PERMANA</t>
  </si>
  <si>
    <t>11177</t>
  </si>
  <si>
    <t>ERVIN UBAIDILLAH</t>
  </si>
  <si>
    <t>11040</t>
  </si>
  <si>
    <t>ANTON SUBIAKTO</t>
  </si>
  <si>
    <t>13511</t>
  </si>
  <si>
    <t>KARINA SUKMA KRISMAWATI</t>
  </si>
  <si>
    <t>03311</t>
  </si>
  <si>
    <t>SUNU KUSUMA</t>
  </si>
  <si>
    <t>April</t>
  </si>
  <si>
    <t>10124</t>
  </si>
  <si>
    <t>ERLIN WAHYUNI</t>
  </si>
  <si>
    <t>04055</t>
  </si>
  <si>
    <t>AJENG KUSUMA DAMAYANTI</t>
  </si>
  <si>
    <t>09066</t>
  </si>
  <si>
    <t>BASKORO ARIEF</t>
  </si>
  <si>
    <t>03583</t>
  </si>
  <si>
    <t>AGUNG HERMANSYAH</t>
  </si>
  <si>
    <t>10080</t>
  </si>
  <si>
    <t>DUDUNG SUNDANA</t>
  </si>
  <si>
    <t>11580</t>
  </si>
  <si>
    <t>MAULANA CAHYA ADMAJA</t>
  </si>
  <si>
    <t>13590</t>
  </si>
  <si>
    <t>HARTANTO AJI</t>
  </si>
  <si>
    <t>SALES TRAINEE</t>
  </si>
  <si>
    <t>10588</t>
  </si>
  <si>
    <t>MOHAMMAD HAMID</t>
  </si>
  <si>
    <t>09513</t>
  </si>
  <si>
    <t>DADANG RUSMAWAN</t>
  </si>
  <si>
    <t>10508</t>
  </si>
  <si>
    <t>GALIH ALI ZARKASYI</t>
  </si>
  <si>
    <t>05198</t>
  </si>
  <si>
    <t>DANANG KRISNA</t>
  </si>
  <si>
    <t>13588</t>
  </si>
  <si>
    <t>KHOIRUL RIZAL</t>
  </si>
  <si>
    <t>09714</t>
  </si>
  <si>
    <t>AINU ILMIATUZ</t>
  </si>
  <si>
    <t>09737</t>
  </si>
  <si>
    <t>TATANG RIDO</t>
  </si>
  <si>
    <t>09569</t>
  </si>
  <si>
    <t>NURJANAH</t>
  </si>
  <si>
    <t>13491</t>
  </si>
  <si>
    <t>ZIZAN MUSTAFA</t>
  </si>
  <si>
    <t>13589</t>
  </si>
  <si>
    <t>SYAHARANI EDNA</t>
  </si>
  <si>
    <t>09579</t>
  </si>
  <si>
    <t>PANJA NEKA SARI</t>
  </si>
  <si>
    <t>09457</t>
  </si>
  <si>
    <t>SONIA EKA PUTRI</t>
  </si>
  <si>
    <t>03651</t>
  </si>
  <si>
    <t>PANJI ASMARA</t>
  </si>
  <si>
    <t>13543</t>
  </si>
  <si>
    <t>ROSMALIA AFIANI</t>
  </si>
  <si>
    <t>13434</t>
  </si>
  <si>
    <t>PRIHANTINA PUTRI EKA PRASTIWI</t>
  </si>
  <si>
    <t>05785</t>
  </si>
  <si>
    <t>BANGUN PERSADA</t>
  </si>
  <si>
    <t>06196</t>
  </si>
  <si>
    <t>NANDA RAHMAN</t>
  </si>
  <si>
    <t>09114</t>
  </si>
  <si>
    <t>DIANA PUTRI</t>
  </si>
  <si>
    <t>13509</t>
  </si>
  <si>
    <t>ZAKI ARFAN</t>
  </si>
  <si>
    <t>09472</t>
  </si>
  <si>
    <t>BARA JIPI</t>
  </si>
  <si>
    <t>10657</t>
  </si>
  <si>
    <t>ELSI UTAMI</t>
  </si>
  <si>
    <t>10189</t>
  </si>
  <si>
    <t>ANA AFRIAN</t>
  </si>
  <si>
    <t>04200</t>
  </si>
  <si>
    <t>JULIA SALMA AGUSTINA</t>
  </si>
  <si>
    <t>05833</t>
  </si>
  <si>
    <t>KUSUMA WIJAYA</t>
  </si>
  <si>
    <t>05777</t>
  </si>
  <si>
    <t>PUTRA ANANDA</t>
  </si>
  <si>
    <t>08384</t>
  </si>
  <si>
    <t>EKA PRAFITA</t>
  </si>
  <si>
    <t>AREA MANAGER</t>
  </si>
  <si>
    <t>External</t>
  </si>
  <si>
    <t>Problem Solving- PICA</t>
  </si>
  <si>
    <t>May</t>
  </si>
  <si>
    <t>10735</t>
  </si>
  <si>
    <t>UTAMI HIDAYATI</t>
  </si>
  <si>
    <t>PJS - AREA MANAGER</t>
  </si>
  <si>
    <t>03932</t>
  </si>
  <si>
    <t>DEWI SHINTA APRILLIANA</t>
  </si>
  <si>
    <t>04005</t>
  </si>
  <si>
    <t>ANISATYA NING DIAH</t>
  </si>
  <si>
    <t>03227</t>
  </si>
  <si>
    <t>SALMA JUWITA</t>
  </si>
  <si>
    <t>REGIONAL CHIEF OPERATING OFFICER</t>
  </si>
  <si>
    <t>10649</t>
  </si>
  <si>
    <t>SAY AZMI</t>
  </si>
  <si>
    <t>MTC</t>
  </si>
  <si>
    <t>04284</t>
  </si>
  <si>
    <t>DAVID BEKA</t>
  </si>
  <si>
    <t>DEPUTY AREA MANAGER</t>
  </si>
  <si>
    <t>03546</t>
  </si>
  <si>
    <t>TEDY SUMAWAN</t>
  </si>
  <si>
    <t>REGIONAL MANAGER OIW</t>
  </si>
  <si>
    <t>07039</t>
  </si>
  <si>
    <t>DIDI KUSUMA</t>
  </si>
  <si>
    <t>05837</t>
  </si>
  <si>
    <t>RIDWAN NUR ADI</t>
  </si>
  <si>
    <t>09340</t>
  </si>
  <si>
    <t>ROBERT RUDI</t>
  </si>
  <si>
    <t>06120</t>
  </si>
  <si>
    <t>HENKY ARMANDO</t>
  </si>
  <si>
    <t>09865</t>
  </si>
  <si>
    <t>DONALD TRIONO</t>
  </si>
  <si>
    <t>05278</t>
  </si>
  <si>
    <t>SUGENG RAHARJA</t>
  </si>
  <si>
    <t>09471</t>
  </si>
  <si>
    <t>ANDY SETIAWAN</t>
  </si>
  <si>
    <t>04357</t>
  </si>
  <si>
    <t>TIMOTIUS PARYOKO</t>
  </si>
  <si>
    <t>08962</t>
  </si>
  <si>
    <t>ARDHY WIJAYA</t>
  </si>
  <si>
    <t>03113</t>
  </si>
  <si>
    <t>GANJAR SUBIYAKTO</t>
  </si>
  <si>
    <t>04327</t>
  </si>
  <si>
    <t>JOKO WARDOYO</t>
  </si>
  <si>
    <t>04830</t>
  </si>
  <si>
    <t>DEDEN JUNIARTO</t>
  </si>
  <si>
    <t>05988</t>
  </si>
  <si>
    <t>JULIANA JAYA</t>
  </si>
  <si>
    <t>09201</t>
  </si>
  <si>
    <t>DIAH AYU PERMATA</t>
  </si>
  <si>
    <t>09168</t>
  </si>
  <si>
    <t>MILLA FARIHA</t>
  </si>
  <si>
    <t>10428</t>
  </si>
  <si>
    <t>RAUL CHRISNA</t>
  </si>
  <si>
    <t>SENIOR BUSINESS MANAGER SUBDIST</t>
  </si>
  <si>
    <t>HO</t>
  </si>
  <si>
    <t>11671</t>
  </si>
  <si>
    <t>ANJU MIRA</t>
  </si>
  <si>
    <t>SYSTEM &amp; STRATEGIC DEVELOPMENT SENIOR ASSOCIATE</t>
  </si>
  <si>
    <t>04033</t>
  </si>
  <si>
    <t>ANDRE AUSHA</t>
  </si>
  <si>
    <t>LOGISTIC OPERATION MANAGER</t>
  </si>
  <si>
    <t>LOGISTIC</t>
  </si>
  <si>
    <t>Supply Chain Management on Distribution Planning (SCMODP)</t>
  </si>
  <si>
    <t>June</t>
  </si>
  <si>
    <t>03968</t>
  </si>
  <si>
    <t>ELVIRA CALLISTA RASYA</t>
  </si>
  <si>
    <t>AREA LOGISTIC JR MANAGER</t>
  </si>
  <si>
    <t>PDCA</t>
  </si>
  <si>
    <t>14076</t>
  </si>
  <si>
    <t>GIOVANI PUTRI RAHMADINI</t>
  </si>
  <si>
    <t>HR &amp; GA</t>
  </si>
  <si>
    <t>10568</t>
  </si>
  <si>
    <t>ISFAHANI PRAMONO JATI</t>
  </si>
  <si>
    <t>AREA FINANCE &amp; ACCOUNTING JR MANAGER</t>
  </si>
  <si>
    <t>ACCOUNTING</t>
  </si>
  <si>
    <t>10797</t>
  </si>
  <si>
    <t>NIGEL DIMAS HARIES PRIHANGGORO</t>
  </si>
  <si>
    <t>03167</t>
  </si>
  <si>
    <t>IKA WIDYAWATI</t>
  </si>
  <si>
    <t>14167</t>
  </si>
  <si>
    <t>DEWI AYU LESTARI</t>
  </si>
  <si>
    <t>REGIONAL LOGISTIC MANAGER</t>
  </si>
  <si>
    <t>11470</t>
  </si>
  <si>
    <t>DIVYA SAFIRA FALDASARI</t>
  </si>
  <si>
    <t>03190</t>
  </si>
  <si>
    <t>BAMBANG JOHARI</t>
  </si>
  <si>
    <t>R F A M</t>
  </si>
  <si>
    <t>03589</t>
  </si>
  <si>
    <t>YOGA PRASETYA</t>
  </si>
  <si>
    <t>04880</t>
  </si>
  <si>
    <t>RAFI FAUZAN ERDIANSYAH</t>
  </si>
  <si>
    <t>03873</t>
  </si>
  <si>
    <t>TASYA PUTRI HANI NINTYAS</t>
  </si>
  <si>
    <t>REGIONAL HRGA MANAGER</t>
  </si>
  <si>
    <t>11427</t>
  </si>
  <si>
    <t>MAYA RISMA HANI</t>
  </si>
  <si>
    <t>14169</t>
  </si>
  <si>
    <t>BAGAS ADI</t>
  </si>
  <si>
    <t>04303</t>
  </si>
  <si>
    <t>NABILA ZAIDA</t>
  </si>
  <si>
    <t>05690</t>
  </si>
  <si>
    <t>HARTUTI WIJAYA</t>
  </si>
  <si>
    <t>04205</t>
  </si>
  <si>
    <t>ESTA DYAH ANDRIANI</t>
  </si>
  <si>
    <t>PERSONNEL OFFICER</t>
  </si>
  <si>
    <t>04118</t>
  </si>
  <si>
    <t>DYAN PRIYANDONO</t>
  </si>
  <si>
    <t>04182</t>
  </si>
  <si>
    <t>ERLI ARMELIA</t>
  </si>
  <si>
    <t>GA COORDINATOR</t>
  </si>
  <si>
    <t>04764</t>
  </si>
  <si>
    <t>SAMUEL EDISON</t>
  </si>
  <si>
    <t>PJS AREA FINANCE &amp; ACCOUNTING JR MANAGER</t>
  </si>
  <si>
    <t>11483</t>
  </si>
  <si>
    <t>NANDA PUTRI SETIAMUKTI</t>
  </si>
  <si>
    <t>INVENTORY JUNIOR MANAGER</t>
  </si>
  <si>
    <t>04037</t>
  </si>
  <si>
    <t>DIMAS AMIRUDIN</t>
  </si>
  <si>
    <t>LOGISTIC &amp; DISTRIBUTION JUNIOR MANAGER</t>
  </si>
  <si>
    <t>14032</t>
  </si>
  <si>
    <t>DIVA RUSDI NUR</t>
  </si>
  <si>
    <t>01144</t>
  </si>
  <si>
    <t>DANI RAFIKADURI</t>
  </si>
  <si>
    <t>03027</t>
  </si>
  <si>
    <t>SATRIA ARDI</t>
  </si>
  <si>
    <t>13393</t>
  </si>
  <si>
    <t>BAHTIAR HAKIM</t>
  </si>
  <si>
    <t>02663</t>
  </si>
  <si>
    <t>BAYU KURNIAWAN</t>
  </si>
  <si>
    <t>03127</t>
  </si>
  <si>
    <t>LULUK ERNASARI</t>
  </si>
  <si>
    <t>09169</t>
  </si>
  <si>
    <t>TARKAM DAMAI</t>
  </si>
  <si>
    <t>05682</t>
  </si>
  <si>
    <t>FAJAR PRASETYO</t>
  </si>
  <si>
    <t>04281</t>
  </si>
  <si>
    <t>AHMAD LUTHFIL HAKIM</t>
  </si>
  <si>
    <t>03742</t>
  </si>
  <si>
    <t>SELVIA ZAHRA</t>
  </si>
  <si>
    <t>11738</t>
  </si>
  <si>
    <t>EKO SUGIARTO</t>
  </si>
  <si>
    <t>14151</t>
  </si>
  <si>
    <t>MUSLIKHAN</t>
  </si>
  <si>
    <t>05085</t>
  </si>
  <si>
    <t>GILANG SUKMA MAHARDHIKA</t>
  </si>
  <si>
    <t>09539</t>
  </si>
  <si>
    <t>AHMAD MULUDDIN</t>
  </si>
  <si>
    <t>HRGA COORDINATOR</t>
  </si>
  <si>
    <t>10107</t>
  </si>
  <si>
    <t>DWI FAJARIONO</t>
  </si>
  <si>
    <t>10102</t>
  </si>
  <si>
    <t>MIRNA ROSITA</t>
  </si>
  <si>
    <t>03208</t>
  </si>
  <si>
    <t>CLARISA ADINDA W</t>
  </si>
  <si>
    <t>03761</t>
  </si>
  <si>
    <t>DEVI BUDI ARIANA</t>
  </si>
  <si>
    <t>03963</t>
  </si>
  <si>
    <t>INDRIANI DINI MUSTAVA</t>
  </si>
  <si>
    <t>11640</t>
  </si>
  <si>
    <t>RANDY PETRA KAMAZ</t>
  </si>
  <si>
    <t>07194</t>
  </si>
  <si>
    <t>WENDY AURAN PETRAZ</t>
  </si>
  <si>
    <t>13701</t>
  </si>
  <si>
    <t>RONI MUJIANTO</t>
  </si>
  <si>
    <t>03945</t>
  </si>
  <si>
    <t>AJENG RISMA NOVITA PUTRI</t>
  </si>
  <si>
    <t>Area Logistic Jr Manager</t>
  </si>
  <si>
    <t>10333</t>
  </si>
  <si>
    <t>PITASARI</t>
  </si>
  <si>
    <t>05124</t>
  </si>
  <si>
    <t>FITRI ANA LESTARI</t>
  </si>
  <si>
    <t>14048</t>
  </si>
  <si>
    <t>WINARTI</t>
  </si>
  <si>
    <t>09821</t>
  </si>
  <si>
    <t>JAUFA WAHYU ADI</t>
  </si>
  <si>
    <t>PJS - AREA SALES MANAGER</t>
  </si>
  <si>
    <t>09613</t>
  </si>
  <si>
    <t>DONALD KUSUMA</t>
  </si>
  <si>
    <t>13401</t>
  </si>
  <si>
    <t>BAMBANG WIRANTO</t>
  </si>
  <si>
    <t>PERSONNEL &amp; CB ASSOCIATE</t>
  </si>
  <si>
    <t>Certified Salary Structure Designer</t>
  </si>
  <si>
    <t>Solusi Consulting</t>
  </si>
  <si>
    <t>11049</t>
  </si>
  <si>
    <t>MARCELINO IRGI SAPUTRA</t>
  </si>
  <si>
    <t>TTT Basic Sales Module</t>
  </si>
  <si>
    <t>July</t>
  </si>
  <si>
    <t>14139</t>
  </si>
  <si>
    <t>BARLIANA DYAN PUSPITA</t>
  </si>
  <si>
    <t>Subject Training</t>
  </si>
  <si>
    <t>Tanggal Mulai Training</t>
  </si>
  <si>
    <t>Grand Total</t>
  </si>
  <si>
    <t>Instruksi umum: Gunakan sheet Data-5 sebagai sumber data. Jawaban harus menggunakan formula Excel / Pivot Table, bukan diketik manual.</t>
  </si>
  <si>
    <t>Formula yang boleh digunakan: VLOOKUP / XLOOKUP / INDEX MATCH, COUNTIFS, SUMIFS, AVERAGEIFS, MAXIFS, dan formula pendukung lain sesuai kebutuhan.</t>
  </si>
  <si>
    <t>1</t>
  </si>
  <si>
    <t>AUTO LOOKUP BERDASARKAN NIK</t>
  </si>
  <si>
    <t>Tanggal Selesai Training</t>
  </si>
  <si>
    <t>Region</t>
  </si>
  <si>
    <t>Area</t>
  </si>
  <si>
    <t>Level</t>
  </si>
  <si>
    <t>Kategori</t>
  </si>
  <si>
    <t>Type</t>
  </si>
  <si>
    <t>Vendor</t>
  </si>
  <si>
    <t>Durasi Hari</t>
  </si>
  <si>
    <t>Validasi Data</t>
  </si>
  <si>
    <t>2</t>
  </si>
  <si>
    <t>ANALISA DATA MENGGUNAKAN FORMULA</t>
  </si>
  <si>
    <t>Pilih Region</t>
  </si>
  <si>
    <t>Pilih Kategori</t>
  </si>
  <si>
    <t>Pilih Tahun</t>
  </si>
  <si>
    <t>Total Peserta</t>
  </si>
  <si>
    <t>Total Jam Training</t>
  </si>
  <si>
    <t>&lt;== Hitung total jam training sesuai Region + Kategori + Tahun</t>
  </si>
  <si>
    <t>Rata-rata Jam Training</t>
  </si>
  <si>
    <t>&lt;== Hitung rata-rata: Total Jam Training / Total Peserta</t>
  </si>
  <si>
    <t>Jam Training Tertinggi</t>
  </si>
  <si>
    <t>&lt;== Cari jam training tertinggi sesuai Region + Kategori + Tahun</t>
  </si>
  <si>
    <t>Tanggal Training Terakhir</t>
  </si>
  <si>
    <t>&lt;== Cari START_DATE paling akhir sesuai Region + Kategori + Tahun</t>
  </si>
  <si>
    <t>Status Volume</t>
  </si>
  <si>
    <t>&lt;== Jika Total Peserta &gt; 30 maka 'High Volume', selain itu 'Normal'</t>
  </si>
  <si>
    <t>3</t>
  </si>
  <si>
    <t>REKAP REGION DENGAN FORMULA / PIVOT</t>
  </si>
  <si>
    <t>Buat rekap per Region. Minimal berisi Region, Total Peserta, Total Jam Training, Rata-rata Jam, Peserta External, dan % External dari total peserta region tersebut.</t>
  </si>
  <si>
    <t>Rata-rata Jam</t>
  </si>
  <si>
    <t>Peserta External</t>
  </si>
  <si>
    <t>% External</t>
  </si>
  <si>
    <t>PIVOT TABLE &amp; CHART</t>
  </si>
  <si>
    <t>2022 Total</t>
  </si>
  <si>
    <t>Rata Rata Jam Training</t>
  </si>
  <si>
    <t>Presentase</t>
  </si>
  <si>
    <t>Jumlah Peserta</t>
  </si>
  <si>
    <t>3. Buat rekap per Region. Minimal berisi Region, Total Peserta, Total Jam Training, Rata-rata Jam, Peserta External, dan % External dari total peserta region tersebut.</t>
  </si>
  <si>
    <t>External Total</t>
  </si>
  <si>
    <t>Internal Total</t>
  </si>
  <si>
    <t>Trial 5: Lookup, Summary Formula, Pivot &amp;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</si>
</sst>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[$-13809]dd\ mmmm\ yyyy;@"/>
    <numFmt numFmtId="167" formatCode="dd\ mmmm\ yyyy"/>
    <numFmt numFmtId="168" formatCode="0.000"/>
  </numFmts>
  <fonts count="19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1"/>
      <color rgb="FFFF0000"/>
      <name val="Calibri"/>
      <family val="2"/>
    </font>
    <font>
      <sz val="11"/>
      <color theme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Bierstadt"/>
      <family val="2"/>
    </font>
    <font>
      <b/>
      <sz val="14"/>
      <color theme="1"/>
      <name val="Calibri"/>
      <family val="2"/>
    </font>
    <font>
      <b/>
      <i/>
      <sz val="12"/>
      <color theme="1"/>
      <name val="Bierstadt"/>
      <family val="2"/>
    </font>
    <font>
      <b/>
      <sz val="12"/>
      <color theme="1"/>
      <name val="Bierstadt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rgb="FF666666"/>
      <name val="Calibri"/>
      <family val="2"/>
    </font>
    <font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1"/>
      </patternFill>
    </fill>
    <fill>
      <patternFill patternType="solid">
        <fgColor rgb="FFFF0000"/>
      </patternFill>
    </fill>
    <fill>
      <patternFill patternType="solid">
        <fgColor indexed="9"/>
      </patternFill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F4B183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E69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99">
    <xf numFmtId="0" fontId="0" fillId="0" borderId="0" xfId="0"/>
    <xf numFmtId="0" fontId="3" fillId="2" borderId="1" xfId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3" applyNumberFormat="1" applyFont="1" applyBorder="1"/>
    <xf numFmtId="0" fontId="0" fillId="0" borderId="0" xfId="0" applyAlignment="1">
      <alignment horizontal="center"/>
    </xf>
    <xf numFmtId="0" fontId="3" fillId="2" borderId="1" xfId="1" applyBorder="1"/>
    <xf numFmtId="0" fontId="2" fillId="0" borderId="1" xfId="0" applyFont="1" applyBorder="1"/>
    <xf numFmtId="0" fontId="5" fillId="0" borderId="0" xfId="0" applyFont="1"/>
    <xf numFmtId="0" fontId="6" fillId="0" borderId="0" xfId="4"/>
    <xf numFmtId="0" fontId="1" fillId="3" borderId="1" xfId="2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5" fontId="0" fillId="0" borderId="1" xfId="3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6" fontId="0" fillId="0" borderId="1" xfId="0" applyNumberFormat="1" applyBorder="1"/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5" fontId="0" fillId="8" borderId="1" xfId="3" applyNumberFormat="1" applyFont="1" applyFill="1" applyBorder="1"/>
    <xf numFmtId="0" fontId="0" fillId="8" borderId="1" xfId="0" applyFill="1" applyBorder="1"/>
    <xf numFmtId="165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165" fontId="0" fillId="8" borderId="1" xfId="3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165" fontId="2" fillId="8" borderId="1" xfId="3" applyNumberFormat="1" applyFont="1" applyFill="1" applyBorder="1" applyAlignment="1">
      <alignment horizontal="center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 vertical="center"/>
    </xf>
    <xf numFmtId="0" fontId="13" fillId="8" borderId="0" xfId="0" applyFont="1" applyFill="1"/>
    <xf numFmtId="0" fontId="1" fillId="3" borderId="1" xfId="2" applyNumberFormat="1" applyBorder="1" applyAlignment="1">
      <alignment horizontal="center"/>
    </xf>
    <xf numFmtId="41" fontId="0" fillId="8" borderId="1" xfId="5" applyFont="1" applyFill="1" applyBorder="1" applyAlignment="1">
      <alignment horizont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14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15" fillId="0" borderId="0" xfId="0" applyFont="1" applyAlignment="1">
      <alignment vertical="center" wrapText="1"/>
    </xf>
    <xf numFmtId="167" fontId="0" fillId="13" borderId="0" xfId="0" applyNumberFormat="1" applyFill="1" applyAlignment="1">
      <alignment vertical="center"/>
    </xf>
    <xf numFmtId="0" fontId="2" fillId="16" borderId="0" xfId="0" applyFont="1" applyFill="1" applyAlignment="1">
      <alignment horizontal="center" vertical="center"/>
    </xf>
    <xf numFmtId="10" fontId="0" fillId="0" borderId="0" xfId="0" applyNumberFormat="1" applyAlignment="1">
      <alignment vertical="center"/>
    </xf>
    <xf numFmtId="41" fontId="0" fillId="8" borderId="1" xfId="0" applyNumberFormat="1" applyFill="1" applyBorder="1" applyAlignment="1">
      <alignment horizontal="center"/>
    </xf>
    <xf numFmtId="0" fontId="7" fillId="0" borderId="1" xfId="0" applyFont="1" applyBorder="1"/>
    <xf numFmtId="0" fontId="7" fillId="6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0" fontId="2" fillId="14" borderId="2" xfId="0" applyFont="1" applyFill="1" applyBorder="1" applyAlignment="1">
      <alignment vertical="center"/>
    </xf>
    <xf numFmtId="0" fontId="0" fillId="15" borderId="4" xfId="0" applyFill="1" applyBorder="1" applyAlignment="1">
      <alignment horizontal="center" vertical="center"/>
    </xf>
    <xf numFmtId="0" fontId="2" fillId="14" borderId="17" xfId="0" applyFont="1" applyFill="1" applyBorder="1" applyAlignment="1">
      <alignment vertical="center"/>
    </xf>
    <xf numFmtId="0" fontId="0" fillId="15" borderId="18" xfId="0" applyFill="1" applyBorder="1" applyAlignment="1">
      <alignment horizontal="center" vertical="center"/>
    </xf>
    <xf numFmtId="1" fontId="0" fillId="15" borderId="18" xfId="0" applyNumberFormat="1" applyFill="1" applyBorder="1" applyAlignment="1">
      <alignment horizontal="center" vertical="center"/>
    </xf>
    <xf numFmtId="167" fontId="0" fillId="15" borderId="18" xfId="0" applyNumberFormat="1" applyFill="1" applyBorder="1" applyAlignment="1">
      <alignment horizontal="center" vertical="center"/>
    </xf>
    <xf numFmtId="0" fontId="2" fillId="14" borderId="5" xfId="0" applyFont="1" applyFill="1" applyBorder="1" applyAlignment="1">
      <alignment vertical="center"/>
    </xf>
    <xf numFmtId="0" fontId="0" fillId="15" borderId="7" xfId="0" applyFill="1" applyBorder="1" applyAlignment="1">
      <alignment horizontal="center" vertical="center"/>
    </xf>
    <xf numFmtId="168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0" fontId="0" fillId="0" borderId="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3" borderId="1" xfId="2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2" fillId="13" borderId="0" xfId="0" applyFont="1" applyFill="1" applyAlignment="1">
      <alignment vertical="center"/>
    </xf>
    <xf numFmtId="0" fontId="14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7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</cellXfs>
  <cellStyles count="7">
    <cellStyle name="60% - Accent5" xfId="2" xr:uid="{00000000-0005-0000-0000-000000000000}"/>
    <cellStyle name="Accent1" xfId="1" xr:uid="{00000000-0005-0000-0000-000001000000}"/>
    <cellStyle name="Comma [0]" xfId="5" xr:uid="{00000000-0005-0000-0000-000002000000}"/>
    <cellStyle name="Comma 2" xfId="3" xr:uid="{00000000-0005-0000-0000-000003000000}"/>
    <cellStyle name="Hyperlink" xfId="4" xr:uid="{00000000-0005-0000-0000-000004000000}"/>
    <cellStyle name="Normal" xfId="0" builtinId="0"/>
    <cellStyle name="Percent" xfId="6" builtinId="5"/>
  </cellStyles>
  <dxfs count="11"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8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3fb76f2411fa4f78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1285875</xdr:colOff>
      <xdr:row>205</xdr:row>
      <xdr:rowOff>0</xdr:rowOff>
    </xdr:from>
    <xdr:ext cx="95250" cy="47625"/>
    <xdr:pic>
      <xdr:nvPicPr>
        <xdr:cNvPr id="2" name="/xl/media/image1.gi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7943"/>
    <xdr:pic>
      <xdr:nvPicPr>
        <xdr:cNvPr id="3" name="/xl/media/image1.gif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4768"/>
    <xdr:pic>
      <xdr:nvPicPr>
        <xdr:cNvPr id="4" name="/xl/media/image1.gif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5" name="/xl/media/image1.gif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6" name="/xl/media/image1.gif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7" name="/xl/media/image1.gif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8" name="/xl/media/image1.gif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9" name="/xl/media/image1.gif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10" name="/xl/media/image1.gif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1285875</xdr:colOff>
      <xdr:row>205</xdr:row>
      <xdr:rowOff>0</xdr:rowOff>
    </xdr:from>
    <xdr:ext cx="95250" cy="47625"/>
    <xdr:pic>
      <xdr:nvPicPr>
        <xdr:cNvPr id="11" name="/xl/media/image1.gif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7943"/>
    <xdr:pic>
      <xdr:nvPicPr>
        <xdr:cNvPr id="12" name="/xl/media/image1.gif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4768"/>
    <xdr:pic>
      <xdr:nvPicPr>
        <xdr:cNvPr id="13" name="/xl/media/image1.gif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14" name="/xl/media/image1.gif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15" name="/xl/media/image1.gif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16" name="/xl/media/image1.gif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17" name="/xl/media/image1.gif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18" name="/xl/media/image1.gif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19" name="/xl/media/image1.gif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1285875</xdr:colOff>
      <xdr:row>205</xdr:row>
      <xdr:rowOff>0</xdr:rowOff>
    </xdr:from>
    <xdr:ext cx="95250" cy="47625"/>
    <xdr:pic>
      <xdr:nvPicPr>
        <xdr:cNvPr id="20" name="/xl/media/image1.gif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7943"/>
    <xdr:pic>
      <xdr:nvPicPr>
        <xdr:cNvPr id="21" name="/xl/media/image1.gif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4768"/>
    <xdr:pic>
      <xdr:nvPicPr>
        <xdr:cNvPr id="22" name="/xl/media/image1.gif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23" name="/xl/media/image1.gif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24" name="/xl/media/image1.gif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25" name="/xl/media/image1.gif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26" name="/xl/media/image1.gif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27" name="/xl/media/image1.gif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28" name="/xl/media/image1.gif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1285875</xdr:colOff>
      <xdr:row>205</xdr:row>
      <xdr:rowOff>0</xdr:rowOff>
    </xdr:from>
    <xdr:ext cx="95250" cy="47625"/>
    <xdr:pic>
      <xdr:nvPicPr>
        <xdr:cNvPr id="29" name="/xl/media/image1.gif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7943"/>
    <xdr:pic>
      <xdr:nvPicPr>
        <xdr:cNvPr id="30" name="/xl/media/image1.gif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223</xdr:row>
      <xdr:rowOff>0</xdr:rowOff>
    </xdr:from>
    <xdr:ext cx="97631" cy="54768"/>
    <xdr:pic>
      <xdr:nvPicPr>
        <xdr:cNvPr id="31" name="/xl/media/image1.gif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32" name="/xl/media/image1.gif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33" name="/xl/media/image1.gif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34" name="/xl/media/image1.gif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35" name="/xl/media/image1.gif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7943"/>
    <xdr:pic>
      <xdr:nvPicPr>
        <xdr:cNvPr id="36" name="/xl/media/image1.gif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1358265</xdr:colOff>
      <xdr:row>0</xdr:row>
      <xdr:rowOff>0</xdr:rowOff>
    </xdr:from>
    <xdr:ext cx="97631" cy="54768"/>
    <xdr:pic>
      <xdr:nvPicPr>
        <xdr:cNvPr id="37" name="/xl/media/image1.gif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7</xdr:col>
      <xdr:colOff>368300</xdr:colOff>
      <xdr:row>66</xdr:row>
      <xdr:rowOff>127000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BA5CF73E-96B5-D7F1-45F4-C174BF39F6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1905000</xdr:colOff>
      <xdr:row>66</xdr:row>
      <xdr:rowOff>123825</xdr:rowOff>
    </xdr:to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3FFE1697-22ED-9A9D-0A35-3DB504F9E8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96825" cy="12696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88603141-175F-EA31-3458-FE29D92CB927}"/>
</xltc: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payana" refreshedDate="46308.947495717592" createdVersion="8" refreshedVersion="8" minRefreshableVersion="3" recordCount="252" xr:uid="{F92F23F2-5131-4721-9E1F-569C1FF57DDE}">
  <cacheSource type="worksheet">
    <worksheetSource ref="A1:Q253" sheet="Database"/>
  </cacheSource>
  <cacheFields count="17">
    <cacheField name="NO" numFmtId="0">
      <sharedItems containsSemiMixedTypes="0" containsString="0" containsNumber="1" containsInteger="1" minValue="1" maxValue="252"/>
    </cacheField>
    <cacheField name="COMPANY" numFmtId="0">
      <sharedItems/>
    </cacheField>
    <cacheField name="NIK" numFmtId="0">
      <sharedItems/>
    </cacheField>
    <cacheField name="NAME EMPLOYEE" numFmtId="0">
      <sharedItems/>
    </cacheField>
    <cacheField name="LEVEL" numFmtId="0">
      <sharedItems/>
    </cacheField>
    <cacheField name="AREA" numFmtId="0">
      <sharedItems/>
    </cacheField>
    <cacheField name="REGION" numFmtId="0">
      <sharedItems count="6">
        <s v="West"/>
        <s v="Central"/>
        <s v="East"/>
        <s v="OIW"/>
        <s v="OIE"/>
        <s v="HO"/>
      </sharedItems>
    </cacheField>
    <cacheField name="DIVISION" numFmtId="0">
      <sharedItems/>
    </cacheField>
    <cacheField name="KATEGORI" numFmtId="0">
      <sharedItems count="2">
        <s v="Internal"/>
        <s v="External"/>
      </sharedItems>
    </cacheField>
    <cacheField name="TYPE" numFmtId="0">
      <sharedItems/>
    </cacheField>
    <cacheField name="SUBJECT" numFmtId="0">
      <sharedItems/>
    </cacheField>
    <cacheField name="Year" numFmtId="0">
      <sharedItems containsSemiMixedTypes="0" containsString="0" containsNumber="1" containsInteger="1" minValue="2022" maxValue="2022" count="1">
        <n v="2022"/>
      </sharedItems>
    </cacheField>
    <cacheField name="Month" numFmtId="0">
      <sharedItems/>
    </cacheField>
    <cacheField name="START_DATE" numFmtId="166">
      <sharedItems containsSemiMixedTypes="0" containsNonDate="0" containsDate="1" containsString="0" minDate="2022-02-12T00:00:00" maxDate="2022-07-24T00:00:00"/>
    </cacheField>
    <cacheField name="END_DATE" numFmtId="166">
      <sharedItems containsSemiMixedTypes="0" containsNonDate="0" containsDate="1" containsString="0" minDate="2022-02-12T00:00:00" maxDate="2022-07-24T00:00:00"/>
    </cacheField>
    <cacheField name="Jam Training" numFmtId="0">
      <sharedItems containsSemiMixedTypes="0" containsString="0" containsNumber="1" minValue="3.5" maxValue="8"/>
    </cacheField>
    <cacheField name="VEND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n v="1"/>
    <s v="DGM"/>
    <s v="06338"/>
    <s v="KAIFA PUTRI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"/>
    <s v="DGM"/>
    <s v="11141"/>
    <s v="FIDEL FIKRO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3"/>
    <s v="DGM"/>
    <s v="06044"/>
    <s v="FERI ARDIANSYAH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4"/>
    <s v="DGM"/>
    <s v="10766"/>
    <s v="ZANESTI VETI FIRANDA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5"/>
    <s v="DGM"/>
    <s v="11639"/>
    <s v="RENY MIFTA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6"/>
    <s v="DGM"/>
    <s v="03312"/>
    <s v="TEUKU RENDI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7"/>
    <s v="DGM"/>
    <s v="11727"/>
    <s v="DEDE ISMAIL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8"/>
    <s v="DGM"/>
    <s v="10713"/>
    <s v="EDY TRIYONO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9"/>
    <s v="DGM"/>
    <s v="06337"/>
    <s v="ALI GONZALES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0"/>
    <s v="DGM"/>
    <s v="10870"/>
    <s v="DONA DONI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1"/>
    <s v="DGM"/>
    <s v="13483"/>
    <s v="DESTA IRWANSYAH"/>
    <s v="PERSON IN CHARGE"/>
    <s v="BANTEN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2"/>
    <s v="DGM"/>
    <s v="11730"/>
    <s v="MUSTAMAR"/>
    <s v="PERSON IN CHARGE"/>
    <s v="BEKAS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3"/>
    <s v="DGM"/>
    <s v="11385"/>
    <s v="M. NURKHADIG"/>
    <s v="PERSON IN CHARGE"/>
    <s v="BEKAS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4"/>
    <s v="DGM"/>
    <s v="13702"/>
    <s v="NARYO SUNARTO"/>
    <s v="PERSON IN CHARGE"/>
    <s v="BEKAS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5"/>
    <s v="DGM"/>
    <s v="03170"/>
    <s v="SUNARSO RENDRA"/>
    <s v="PERSON IN CHARGE"/>
    <s v="BEKAS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6"/>
    <s v="DGM"/>
    <s v="03988"/>
    <s v="RITA AMALIA"/>
    <s v="PERSON IN CHARGE"/>
    <s v="BEKAS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7"/>
    <s v="DGM"/>
    <s v="04144"/>
    <s v="SILVIA KUSUMADEWI"/>
    <s v="PERSON IN CHARGE"/>
    <s v="BEKAS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8"/>
    <s v="DGM"/>
    <s v="13422"/>
    <s v="EDI JULIANTO"/>
    <s v="PERSON IN CHARGE"/>
    <s v="BEKAS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19"/>
    <s v="DGM"/>
    <s v="05297"/>
    <s v="DONGAN SULTON SILALAHI"/>
    <s v="HR &amp; GA SUPERVISOR"/>
    <s v="BOGOR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0"/>
    <s v="DGM"/>
    <s v="09304"/>
    <s v="RAYHAN MARCELIAN"/>
    <s v="PJS - FIELD SALES SUPERVISOR"/>
    <s v="BOGOR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1"/>
    <s v="DGM"/>
    <s v="10722"/>
    <s v="NORMAN KAMERUN"/>
    <s v="PJS - FIELD SALES SUPERVISOR"/>
    <s v="BOGOR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2"/>
    <s v="DGM"/>
    <s v="04160"/>
    <s v="NOVITA ANGELINA"/>
    <s v="FIELD SALES SUPERVISOR"/>
    <s v="BOGOR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3"/>
    <s v="DGM"/>
    <s v="02923"/>
    <s v="ASEP ROHMAN HIDAYAT"/>
    <s v="FIELD SALES SUPERVISOR"/>
    <s v="BOGOR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4"/>
    <s v="DGM"/>
    <s v="10372"/>
    <s v="MARCELLA ELISABETH"/>
    <s v="FIELD SALES SUPERVISOR"/>
    <s v="BOGOR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5"/>
    <s v="DGM"/>
    <s v="03533"/>
    <s v="DEBORA CRISTIEN"/>
    <s v="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6"/>
    <s v="DGM"/>
    <s v="11051"/>
    <s v="NURDINSYAH"/>
    <s v="PJS - 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7"/>
    <s v="DGM"/>
    <s v="10316"/>
    <s v="RICHO ARIO WIBOWO"/>
    <s v="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8"/>
    <s v="DGM"/>
    <s v="03503"/>
    <s v="AKBAR GAHARA PUTRA"/>
    <s v="PJS - 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29"/>
    <s v="DGM"/>
    <s v="05152"/>
    <s v="FEBIONA FELICIA SUSETYA"/>
    <s v="PJS - 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30"/>
    <s v="DGM"/>
    <s v="11021"/>
    <s v="DEDEN MARYANTO"/>
    <s v="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31"/>
    <s v="DGM"/>
    <s v="11055"/>
    <s v="KARENINA HAPSARI"/>
    <s v="PJS - 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32"/>
    <s v="DGM"/>
    <s v="03324"/>
    <s v="NEHEMIA KELVIN"/>
    <s v="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33"/>
    <s v="DGM"/>
    <s v="04876"/>
    <s v="MARCELLA FIONA"/>
    <s v="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34"/>
    <s v="DGM"/>
    <s v="13974"/>
    <s v="SOFIA MARIA SUGI"/>
    <s v="PJS - FIELD SALES SUPERVISOR"/>
    <s v="DKI"/>
    <x v="0"/>
    <s v="SALES"/>
    <x v="0"/>
    <s v="Training"/>
    <s v="Refreshment - Sales &amp; Distribution Training"/>
    <x v="0"/>
    <s v="Feb"/>
    <d v="2022-02-12T00:00:00"/>
    <d v="2022-02-12T00:00:00"/>
    <n v="4"/>
    <m/>
  </r>
  <r>
    <n v="35"/>
    <s v="DGM"/>
    <s v="10082"/>
    <s v="DENI SATRIA BUDI"/>
    <s v="PJS - 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36"/>
    <s v="DGM"/>
    <s v="03282"/>
    <s v="ARYA KAMAN"/>
    <s v="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37"/>
    <s v="DGM"/>
    <s v="13967"/>
    <s v="PRIMADINDA WAHYU"/>
    <s v="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38"/>
    <s v="DGM"/>
    <s v="13396"/>
    <s v="NANANG PAMUNGKAS"/>
    <s v="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39"/>
    <s v="DGM"/>
    <s v="13662"/>
    <s v="ALIKA TRULY"/>
    <s v="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0"/>
    <s v="DGM"/>
    <s v="10658"/>
    <s v="RAIHAN RAMADHAN"/>
    <s v="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1"/>
    <s v="DGM"/>
    <s v="14055"/>
    <s v="ANINDHITYA SRI"/>
    <s v="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2"/>
    <s v="DGM"/>
    <s v="03842"/>
    <s v="NURLITA HIDAYAH"/>
    <s v="FIELD SALES SUPERVISOR"/>
    <s v="CENTRAL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3"/>
    <s v="DGM"/>
    <s v="10338"/>
    <s v="AFNAN RIYADI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4"/>
    <s v="DGM"/>
    <s v="10990"/>
    <s v="SENTOT ALI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5"/>
    <s v="DGM"/>
    <s v="04049"/>
    <s v="DIVA VALENSIA"/>
    <s v="PJS - 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6"/>
    <s v="DGM"/>
    <s v="10235"/>
    <s v="DWI NUR INDRIYANI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7"/>
    <s v="DGM"/>
    <s v="11656"/>
    <s v="ALBERTO MAMAN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8"/>
    <s v="DGM"/>
    <s v="04053"/>
    <s v="MELA ARUM AGUSTINA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49"/>
    <s v="DGM"/>
    <s v="10234"/>
    <s v="ALBERT MAHESA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0"/>
    <s v="DGM"/>
    <s v="04061"/>
    <s v="INTAN PUTRI APRILIYANI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1"/>
    <s v="DGM"/>
    <s v="10975"/>
    <s v="KAHFY ALAMSYAH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2"/>
    <s v="DGM"/>
    <s v="04776"/>
    <s v="HOSEN MAHESA"/>
    <s v="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3"/>
    <s v="DGM"/>
    <s v="06056"/>
    <s v="ALFIAN DANI"/>
    <s v="PJS - FIELD SALES SUPERVISOR"/>
    <s v="CENTRAL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4"/>
    <s v="DGM"/>
    <s v="03836"/>
    <s v="ANDRA JUNAEDI"/>
    <s v="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5"/>
    <s v="DGM"/>
    <s v="10218"/>
    <s v="REGINA EVELINE"/>
    <s v="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6"/>
    <s v="DGM"/>
    <s v="13625"/>
    <s v="BUDIYANTO ARYA"/>
    <s v="PJS - 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7"/>
    <s v="DGM"/>
    <s v="05060"/>
    <s v="AURELIYA AMESTIKA"/>
    <s v="PJS - 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8"/>
    <s v="DGM"/>
    <s v="09103"/>
    <s v="RENDI HADI"/>
    <s v="PJS - 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59"/>
    <s v="DGM"/>
    <s v="07002"/>
    <s v="RIO THOMAS"/>
    <s v="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0"/>
    <s v="DGM"/>
    <s v="03248"/>
    <s v="NUR AHMAD"/>
    <s v="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1"/>
    <s v="DGM"/>
    <s v="03300"/>
    <s v="MUCHAMMAD RIFAI"/>
    <s v="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2"/>
    <s v="DGM"/>
    <s v="04377"/>
    <s v="GUNAWAN"/>
    <s v="PJS - FIELD SALES SUPERVISOR"/>
    <s v="WEST JAVA 1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3"/>
    <s v="DGM"/>
    <s v="10335"/>
    <s v="HADI PASAK BANTALA"/>
    <s v="FIELD SALES SUPERVISOR"/>
    <s v="WEST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4"/>
    <s v="DGM"/>
    <s v="09571"/>
    <s v="NATHAN WIDODO"/>
    <s v="FIELD SALES SUPERVISOR"/>
    <s v="WEST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5"/>
    <s v="DGM"/>
    <s v="10578"/>
    <s v="KURNIA YUSUF ARI"/>
    <s v="FIELD SALES SUPERVISOR"/>
    <s v="WEST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6"/>
    <s v="DGM"/>
    <s v="11064"/>
    <s v="ANDRA RAMADHAN"/>
    <s v="FIELD SALES SUPERVISOR"/>
    <s v="WEST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7"/>
    <s v="DGM"/>
    <s v="04215"/>
    <s v="WAHYU DWI HARYANTO"/>
    <s v="FIELD SALES SUPERVISOR"/>
    <s v="WEST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8"/>
    <s v="DGM"/>
    <s v="06081"/>
    <s v="RIKO GALAKSI"/>
    <s v="FIELD SALES SUPERVISOR"/>
    <s v="WEST JAVA 2"/>
    <x v="1"/>
    <s v="SALES"/>
    <x v="0"/>
    <s v="Training"/>
    <s v="Refreshment - Sales &amp; Distribution Training"/>
    <x v="0"/>
    <s v="Feb"/>
    <d v="2022-02-12T00:00:00"/>
    <d v="2022-02-12T00:00:00"/>
    <n v="4"/>
    <m/>
  </r>
  <r>
    <n v="69"/>
    <s v="DGM"/>
    <s v="03303"/>
    <s v="ERWIN PRASETYO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0"/>
    <s v="DGM"/>
    <s v="13380"/>
    <s v="ZOLA MENDETEGA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1"/>
    <s v="DGM"/>
    <s v="09598"/>
    <s v="LEONARDO BARA PAMUNGKAS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2"/>
    <s v="DGM"/>
    <s v="03447"/>
    <s v="PASHA SETIAWAN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3"/>
    <s v="DGM"/>
    <s v="13475"/>
    <s v="ARIEL SETIAWAN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4"/>
    <s v="DGM"/>
    <s v="10267"/>
    <s v="ALDO SURYODIMAS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5"/>
    <s v="DGM"/>
    <s v="10136"/>
    <s v="REVIVO ONIX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6"/>
    <s v="DGM"/>
    <s v="05976"/>
    <s v="FAIZ SYUKRI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7"/>
    <s v="DGM"/>
    <s v="05984"/>
    <s v="DEVINA SALSA"/>
    <s v="FIELD SALES SUPERVISOR"/>
    <s v="EAST JAVA 1"/>
    <x v="2"/>
    <s v="SALES"/>
    <x v="0"/>
    <s v="Training"/>
    <s v="Refreshment - Sales &amp; Distribution Training"/>
    <x v="0"/>
    <s v="Feb"/>
    <d v="2022-02-12T00:00:00"/>
    <d v="2022-02-12T00:00:00"/>
    <n v="4"/>
    <m/>
  </r>
  <r>
    <n v="78"/>
    <s v="DGM"/>
    <s v="10688"/>
    <s v="DAVID SITANGGANG"/>
    <s v="FIELD SALES SUPERVISOR"/>
    <s v="WEST SUBDIST"/>
    <x v="0"/>
    <s v="SALES"/>
    <x v="0"/>
    <s v="Training"/>
    <s v="Refreshment - Sales &amp; Distribution Training"/>
    <x v="0"/>
    <s v="Feb"/>
    <d v="2022-02-19T00:00:00"/>
    <d v="2022-02-19T00:00:00"/>
    <n v="4"/>
    <m/>
  </r>
  <r>
    <n v="79"/>
    <s v="DGM"/>
    <s v="14022"/>
    <s v="GRABELLA MARANTA"/>
    <s v="FIELD SALES SUPERVISOR"/>
    <s v="OIW 1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0"/>
    <s v="DGM"/>
    <s v="13586"/>
    <s v="BIMA SANJAYA"/>
    <s v="FIELD SALES SUPERVISOR"/>
    <s v="OIW 1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1"/>
    <s v="DGM"/>
    <s v="13471"/>
    <s v="BIMA PUTRA ADITIYA"/>
    <s v="FIELD SALES SUPERVISOR"/>
    <s v="OIW 1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2"/>
    <s v="DGM"/>
    <s v="11476"/>
    <s v="TIARA MONIKASANI"/>
    <s v="FIELD SALES SUPERVISOR"/>
    <s v="OIW 1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3"/>
    <s v="DGM"/>
    <s v="13488"/>
    <s v="LARAS MUKTI WARDANI"/>
    <s v="FIELD SALES SUPERVISOR"/>
    <s v="OIW 1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4"/>
    <s v="DGM"/>
    <s v="13665"/>
    <s v="INDRA KELANA SAPUTRA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5"/>
    <s v="DGM"/>
    <s v="10992"/>
    <s v="TEGAR AKHIRUL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6"/>
    <s v="DGM"/>
    <s v="10459"/>
    <s v="RONI IRWANSYAH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7"/>
    <s v="DGM"/>
    <s v="13370"/>
    <s v="ANTON SUGINO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8"/>
    <s v="DGM"/>
    <s v="11595"/>
    <s v="SUWITO WIRIAWAN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89"/>
    <s v="DGM"/>
    <s v="10589"/>
    <s v="IRVAN MEILANO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0"/>
    <s v="DGM"/>
    <s v="10096"/>
    <s v="SUYATNO WIJAYA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1"/>
    <s v="DGM"/>
    <s v="13481"/>
    <s v="ZAINAL ARIEF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2"/>
    <s v="DGM"/>
    <s v="10116"/>
    <s v="FERDINAN MAHESA PUTRA"/>
    <s v="FIELD SALES SUPERVISOR"/>
    <s v="OIW 2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3"/>
    <s v="DGM"/>
    <s v="05479"/>
    <s v="ANDREW SUPARMAN"/>
    <s v="FIELD SALES SUPERVISOR"/>
    <s v="OIW 3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4"/>
    <s v="DGM"/>
    <s v="11713"/>
    <s v="FITRIAN KANA"/>
    <s v="FIELD SALES SUPERVISOR"/>
    <s v="OIW 3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5"/>
    <s v="DGM"/>
    <s v="11469"/>
    <s v="DODI CHRISTOPHER"/>
    <s v="FIELD SALES SUPERVISOR"/>
    <s v="OIW 3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6"/>
    <s v="DGM"/>
    <s v="13480"/>
    <s v="IRFAN DANU"/>
    <s v="FIELD SALES SUPERVISOR"/>
    <s v="OIW 3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7"/>
    <s v="DGM"/>
    <s v="05779"/>
    <s v="ALFANO PURWA"/>
    <s v="FIELD SALES SUPERVISOR"/>
    <s v="OIW 3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8"/>
    <s v="DGM"/>
    <s v="13513"/>
    <s v="TOMMY  ARIYADI"/>
    <s v="FIELD SALES SUPERVISOR"/>
    <s v="OIW 3"/>
    <x v="3"/>
    <s v="SALES"/>
    <x v="0"/>
    <s v="Training"/>
    <s v="Refreshment - Sales &amp; Distribution Training"/>
    <x v="0"/>
    <s v="Feb"/>
    <d v="2022-02-19T00:00:00"/>
    <d v="2022-02-19T00:00:00"/>
    <n v="4"/>
    <m/>
  </r>
  <r>
    <n v="99"/>
    <s v="DGM"/>
    <s v="10571"/>
    <s v="MEGATHEO BARNESTA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0"/>
    <s v="DGM"/>
    <s v="13476"/>
    <s v="RANGGA WAHYU JATI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1"/>
    <s v="DGM"/>
    <s v="10339"/>
    <s v="DHIMAS ADI PRASETYA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2"/>
    <s v="DGM"/>
    <s v="09466"/>
    <s v="TAUFIQ KURNIAWAN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3"/>
    <s v="DGM"/>
    <s v="13470"/>
    <s v="ROFI KHASAN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4"/>
    <s v="DGM"/>
    <s v="14012"/>
    <s v="SUGIONO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5"/>
    <s v="DGM"/>
    <s v="10122"/>
    <s v="ERWIN KURNIAWAN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6"/>
    <s v="DGM"/>
    <s v="09105"/>
    <s v="JOKO SUSANTO"/>
    <s v="FIELD SALES SUPERVISOR"/>
    <s v="CENTRAL SUBDIST"/>
    <x v="1"/>
    <s v="SALES"/>
    <x v="0"/>
    <s v="Training"/>
    <s v="Refreshment - Sales &amp; Distribution Training"/>
    <x v="0"/>
    <s v="Feb"/>
    <d v="2022-02-19T00:00:00"/>
    <d v="2022-02-19T00:00:00"/>
    <n v="4"/>
    <m/>
  </r>
  <r>
    <n v="107"/>
    <s v="DGM"/>
    <s v="10584"/>
    <s v="DEWA KUSUMA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08"/>
    <s v="DGM"/>
    <s v="14082"/>
    <s v="ARMAN SETIAWAN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09"/>
    <s v="DGM"/>
    <s v="14083"/>
    <s v="ADI JUWARNO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10"/>
    <s v="DGM"/>
    <s v="13548"/>
    <s v="RENATA AMANATUL LESTARI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11"/>
    <s v="DGM"/>
    <s v="10902"/>
    <s v="SUNARTO SANJAYA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12"/>
    <s v="DGM"/>
    <s v="05975"/>
    <s v="FAJAR IMANTO RENAH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13"/>
    <s v="DGM"/>
    <s v="04818"/>
    <s v="MUNSHIFIN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14"/>
    <s v="DGM"/>
    <s v="11467"/>
    <s v="ADITYA WAHYU RIZKI"/>
    <s v="FIELD SALES SUPERVISOR"/>
    <s v="EAST SUBDIST"/>
    <x v="2"/>
    <s v="SALES"/>
    <x v="0"/>
    <s v="Training"/>
    <s v="Refreshment - Sales &amp; Distribution Training"/>
    <x v="0"/>
    <s v="Feb"/>
    <d v="2022-02-19T00:00:00"/>
    <d v="2022-02-19T00:00:00"/>
    <n v="4"/>
    <m/>
  </r>
  <r>
    <n v="115"/>
    <s v="DGM"/>
    <s v="13642"/>
    <s v="BAGUS SAPUTRA"/>
    <s v="FIELD SALES SUPERVISOR"/>
    <s v="OIE 1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16"/>
    <s v="DGM"/>
    <s v="13675"/>
    <s v="ELVINA YANTI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17"/>
    <s v="DGM"/>
    <s v="13350"/>
    <s v="KRISMAN HADINATA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18"/>
    <s v="DGM"/>
    <s v="13368"/>
    <s v="DORI SUPARMAN"/>
    <s v="FIELD SALES SUPERVISOR"/>
    <s v="OIE 1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19"/>
    <s v="DGM"/>
    <s v="10577"/>
    <s v="ANGGITA DEVY AGUSTIN"/>
    <s v="FIELD SALES SUPERVISOR"/>
    <s v="OIE 3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0"/>
    <s v="DGM"/>
    <s v="03188"/>
    <s v="DODI DARMAWAN"/>
    <s v="FIELD SALES SUPERVISOR"/>
    <s v="OIE 3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1"/>
    <s v="DGM"/>
    <s v="13522"/>
    <s v="ANNISA WIDYA SALMA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2"/>
    <s v="DGM"/>
    <s v="13666"/>
    <s v="BAGAS FERRY FERNANDY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3"/>
    <s v="DGM"/>
    <s v="10575"/>
    <s v="BUNGA WETANTRI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4"/>
    <s v="DGM"/>
    <s v="13573"/>
    <s v="APRIL LIDYAWATI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5"/>
    <s v="DGM"/>
    <s v="11720"/>
    <s v="CATUR WIJI PAMUNGKAS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6"/>
    <s v="DGM"/>
    <s v="10507"/>
    <s v="ELISA MAULID DIYANTI"/>
    <s v="FIELD SALES SUPERVISOR"/>
    <s v="OIE 3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7"/>
    <s v="DGM"/>
    <s v="13373"/>
    <s v="EKA NUR AULIA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8"/>
    <s v="DGM"/>
    <s v="13534"/>
    <s v="ERLINA EKA SAFITRI"/>
    <s v="FIELD SALES SUPERVISOR"/>
    <s v="OIE 1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29"/>
    <s v="DGM"/>
    <s v="13643"/>
    <s v="HENI DWI INDRIANIN"/>
    <s v="FIELD SALES SUPERVISOR"/>
    <s v="OIE 1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30"/>
    <s v="DGM"/>
    <s v="10225"/>
    <s v="ALI NURDIN"/>
    <s v="FIELD SALES SUPERVISOR"/>
    <s v="OIE 2"/>
    <x v="4"/>
    <s v="SALES"/>
    <x v="0"/>
    <s v="Training"/>
    <s v="Refreshment - Sales &amp; Distribution Training"/>
    <x v="0"/>
    <s v="Feb"/>
    <d v="2022-02-19T00:00:00"/>
    <d v="2022-02-19T00:00:00"/>
    <n v="4"/>
    <m/>
  </r>
  <r>
    <n v="131"/>
    <s v="DGM"/>
    <s v="03949"/>
    <s v="NOVIA AMANDA YULIANTI"/>
    <s v="AREA SALES MANAGER"/>
    <s v="BOGOR"/>
    <x v="0"/>
    <s v="SALES"/>
    <x v="0"/>
    <s v="Training"/>
    <s v="Sales &amp; Distribution Advance Training"/>
    <x v="0"/>
    <s v="March"/>
    <d v="2022-03-12T00:00:00"/>
    <d v="2022-03-12T00:00:00"/>
    <n v="4"/>
    <m/>
  </r>
  <r>
    <n v="132"/>
    <s v="DGM"/>
    <s v="10279"/>
    <s v="KARYOTO SUJONO"/>
    <s v="AREA SALES MANAGER"/>
    <s v="BOGOR"/>
    <x v="0"/>
    <s v="SALES"/>
    <x v="0"/>
    <s v="Training"/>
    <s v="Sales &amp; Distribution Advance Training"/>
    <x v="0"/>
    <s v="March"/>
    <d v="2022-03-12T00:00:00"/>
    <d v="2022-03-12T00:00:00"/>
    <n v="4"/>
    <m/>
  </r>
  <r>
    <n v="133"/>
    <s v="DGM"/>
    <s v="13576"/>
    <s v="NUGRAHENI NUR"/>
    <s v="AREA SALES MANAGER"/>
    <s v="DKI"/>
    <x v="0"/>
    <s v="SALES"/>
    <x v="0"/>
    <s v="Training"/>
    <s v="Sales &amp; Distribution Advance Training"/>
    <x v="0"/>
    <s v="March"/>
    <d v="2022-03-12T00:00:00"/>
    <d v="2022-03-12T00:00:00"/>
    <n v="4"/>
    <m/>
  </r>
  <r>
    <n v="134"/>
    <s v="DGM"/>
    <s v="10315"/>
    <s v="SUTRISNO"/>
    <s v="PJS AREA SALES MANAGER"/>
    <s v="DKI"/>
    <x v="0"/>
    <s v="SALES"/>
    <x v="0"/>
    <s v="Training"/>
    <s v="Sales &amp; Distribution Advance Training"/>
    <x v="0"/>
    <s v="March"/>
    <d v="2022-03-12T00:00:00"/>
    <d v="2022-03-12T00:00:00"/>
    <n v="4"/>
    <m/>
  </r>
  <r>
    <n v="135"/>
    <s v="DGM"/>
    <s v="04976"/>
    <s v="PUJI LESTARI"/>
    <s v="AREA SALES MANAGER"/>
    <s v="DKI"/>
    <x v="0"/>
    <s v="SALES"/>
    <x v="0"/>
    <s v="Training"/>
    <s v="Sales &amp; Distribution Advance Training"/>
    <x v="0"/>
    <s v="March"/>
    <d v="2022-03-12T00:00:00"/>
    <d v="2022-03-12T00:00:00"/>
    <n v="4"/>
    <m/>
  </r>
  <r>
    <n v="136"/>
    <s v="DGM"/>
    <s v="04082"/>
    <s v="ENDANG SETIAWAN"/>
    <s v="AREA SALES MANAGER"/>
    <s v="DKI"/>
    <x v="0"/>
    <s v="SALES"/>
    <x v="0"/>
    <s v="Training"/>
    <s v="Sales &amp; Distribution Advance Training"/>
    <x v="0"/>
    <s v="March"/>
    <d v="2022-03-12T00:00:00"/>
    <d v="2022-03-12T00:00:00"/>
    <n v="4"/>
    <m/>
  </r>
  <r>
    <n v="137"/>
    <s v="DGM"/>
    <s v="03816"/>
    <s v="SEKAR GAYATRI"/>
    <s v="AREA SALES MANAGER"/>
    <s v="BANTEN"/>
    <x v="0"/>
    <s v="SALES"/>
    <x v="0"/>
    <s v="Training"/>
    <s v="Sales &amp; Distribution Advance Training"/>
    <x v="0"/>
    <s v="March"/>
    <d v="2022-03-19T00:00:00"/>
    <d v="2022-03-19T00:00:00"/>
    <n v="4"/>
    <m/>
  </r>
  <r>
    <n v="138"/>
    <s v="DGM"/>
    <s v="10410"/>
    <s v="SHOLEH PERMANA"/>
    <s v="AREA SALES MANAGER"/>
    <s v="BANTEN"/>
    <x v="0"/>
    <s v="SALES"/>
    <x v="0"/>
    <s v="Training"/>
    <s v="Sales &amp; Distribution Advance Training"/>
    <x v="0"/>
    <s v="March"/>
    <d v="2022-03-19T00:00:00"/>
    <d v="2022-03-19T00:00:00"/>
    <n v="4"/>
    <m/>
  </r>
  <r>
    <n v="139"/>
    <s v="DGM"/>
    <s v="11177"/>
    <s v="ERVIN UBAIDILLAH"/>
    <s v="AREA SALES MANAGER"/>
    <s v="BANTEN"/>
    <x v="0"/>
    <s v="SALES"/>
    <x v="0"/>
    <s v="Training"/>
    <s v="Sales &amp; Distribution Advance Training"/>
    <x v="0"/>
    <s v="March"/>
    <d v="2022-03-19T00:00:00"/>
    <d v="2022-03-19T00:00:00"/>
    <n v="4"/>
    <m/>
  </r>
  <r>
    <n v="140"/>
    <s v="DGM"/>
    <s v="11040"/>
    <s v="ANTON SUBIAKTO"/>
    <s v="AREA SALES MANAGER"/>
    <s v="BEKASI"/>
    <x v="0"/>
    <s v="SALES"/>
    <x v="0"/>
    <s v="Training"/>
    <s v="Sales &amp; Distribution Advance Training"/>
    <x v="0"/>
    <s v="March"/>
    <d v="2022-03-19T00:00:00"/>
    <d v="2022-03-19T00:00:00"/>
    <n v="4"/>
    <m/>
  </r>
  <r>
    <n v="141"/>
    <s v="DGM"/>
    <s v="13511"/>
    <s v="KARINA SUKMA KRISMAWATI"/>
    <s v="AREA SALES MANAGER"/>
    <s v="BEKASI"/>
    <x v="0"/>
    <s v="SALES"/>
    <x v="0"/>
    <s v="Training"/>
    <s v="Sales &amp; Distribution Advance Training"/>
    <x v="0"/>
    <s v="March"/>
    <d v="2022-03-19T00:00:00"/>
    <d v="2022-03-19T00:00:00"/>
    <n v="4"/>
    <m/>
  </r>
  <r>
    <n v="142"/>
    <s v="DGM"/>
    <s v="03311"/>
    <s v="SUNU KUSUMA"/>
    <s v="AREA SALES MANAGER"/>
    <s v="CENTRAL SUBDIST"/>
    <x v="1"/>
    <s v="SALES"/>
    <x v="0"/>
    <s v="Training"/>
    <s v="Sales &amp; Distribution Advance Training"/>
    <x v="0"/>
    <s v="April"/>
    <d v="2022-04-09T00:00:00"/>
    <d v="2022-04-09T00:00:00"/>
    <n v="4"/>
    <m/>
  </r>
  <r>
    <n v="143"/>
    <s v="DGM"/>
    <s v="10124"/>
    <s v="ERLIN WAHYUNI"/>
    <s v="PJS AREA SALES MANAGER"/>
    <s v="WEST JAVA 1"/>
    <x v="1"/>
    <s v="SALES"/>
    <x v="0"/>
    <s v="Training"/>
    <s v="Sales &amp; Distribution Advance Training"/>
    <x v="0"/>
    <s v="April"/>
    <d v="2022-04-09T00:00:00"/>
    <d v="2022-04-09T00:00:00"/>
    <n v="4"/>
    <m/>
  </r>
  <r>
    <n v="144"/>
    <s v="DGM"/>
    <s v="04055"/>
    <s v="AJENG KUSUMA DAMAYANTI"/>
    <s v="AREA SALES MANAGER"/>
    <s v="WEST JAVA 1"/>
    <x v="1"/>
    <s v="SALES"/>
    <x v="0"/>
    <s v="Training"/>
    <s v="Sales &amp; Distribution Advance Training"/>
    <x v="0"/>
    <s v="April"/>
    <d v="2022-04-09T00:00:00"/>
    <d v="2022-04-09T00:00:00"/>
    <n v="4"/>
    <m/>
  </r>
  <r>
    <n v="145"/>
    <s v="DGM"/>
    <s v="09066"/>
    <s v="BASKORO ARIEF"/>
    <s v="AREA SALES MANAGER"/>
    <s v="WEST JAVA 1"/>
    <x v="1"/>
    <s v="SALES"/>
    <x v="0"/>
    <s v="Training"/>
    <s v="Sales &amp; Distribution Advance Training"/>
    <x v="0"/>
    <s v="April"/>
    <d v="2022-04-09T00:00:00"/>
    <d v="2022-04-09T00:00:00"/>
    <n v="4"/>
    <m/>
  </r>
  <r>
    <n v="146"/>
    <s v="DGM"/>
    <s v="03583"/>
    <s v="AGUNG HERMANSYAH"/>
    <s v="AREA SALES MANAGER"/>
    <s v="WEST JAVA 2"/>
    <x v="1"/>
    <s v="SALES"/>
    <x v="0"/>
    <s v="Training"/>
    <s v="Sales &amp; Distribution Advance Training"/>
    <x v="0"/>
    <s v="April"/>
    <d v="2022-04-09T00:00:00"/>
    <d v="2022-04-09T00:00:00"/>
    <n v="4"/>
    <m/>
  </r>
  <r>
    <n v="147"/>
    <s v="DGM"/>
    <s v="10080"/>
    <s v="DUDUNG SUNDANA"/>
    <s v="AREA SALES MANAGER"/>
    <s v="OIW 1"/>
    <x v="3"/>
    <s v="SALES"/>
    <x v="0"/>
    <s v="Training"/>
    <s v="Sales &amp; Distribution Advance Training"/>
    <x v="0"/>
    <s v="April"/>
    <d v="2022-04-19T00:00:00"/>
    <d v="2022-04-19T00:00:00"/>
    <n v="4"/>
    <m/>
  </r>
  <r>
    <n v="148"/>
    <s v="DGM"/>
    <s v="11580"/>
    <s v="MAULANA CAHYA ADMAJA"/>
    <s v="AREA SALES MANAGER"/>
    <s v="OIW 1"/>
    <x v="3"/>
    <s v="SALES"/>
    <x v="0"/>
    <s v="Training"/>
    <s v="Sales &amp; Distribution Advance Training"/>
    <x v="0"/>
    <s v="April"/>
    <d v="2022-04-19T00:00:00"/>
    <d v="2022-04-19T00:00:00"/>
    <n v="4"/>
    <m/>
  </r>
  <r>
    <n v="149"/>
    <s v="DGM"/>
    <s v="13590"/>
    <s v="HARTANTO AJI"/>
    <s v="SALES TRAINEE"/>
    <s v="OIW 2"/>
    <x v="3"/>
    <s v="SALES"/>
    <x v="0"/>
    <s v="Training"/>
    <s v="Sales &amp; Distribution Advance Training"/>
    <x v="0"/>
    <s v="April"/>
    <d v="2022-04-19T00:00:00"/>
    <d v="2022-04-19T00:00:00"/>
    <n v="4"/>
    <m/>
  </r>
  <r>
    <n v="150"/>
    <s v="DGM"/>
    <s v="10588"/>
    <s v="MOHAMMAD HAMID"/>
    <s v="AREA SALES MANAGER"/>
    <s v="OIW 2"/>
    <x v="3"/>
    <s v="SALES"/>
    <x v="0"/>
    <s v="Training"/>
    <s v="Sales &amp; Distribution Advance Training"/>
    <x v="0"/>
    <s v="April"/>
    <d v="2022-04-19T00:00:00"/>
    <d v="2022-04-19T00:00:00"/>
    <n v="4"/>
    <m/>
  </r>
  <r>
    <n v="151"/>
    <s v="DGM"/>
    <s v="09513"/>
    <s v="DADANG RUSMAWAN"/>
    <s v="AREA SALES MANAGER"/>
    <s v="OIW 2"/>
    <x v="3"/>
    <s v="SALES"/>
    <x v="0"/>
    <s v="Training"/>
    <s v="Sales &amp; Distribution Advance Training"/>
    <x v="0"/>
    <s v="April"/>
    <d v="2022-04-19T00:00:00"/>
    <d v="2022-04-19T00:00:00"/>
    <n v="4"/>
    <m/>
  </r>
  <r>
    <n v="152"/>
    <s v="DGM"/>
    <s v="10508"/>
    <s v="GALIH ALI ZARKASYI"/>
    <s v="AREA SALES MANAGER"/>
    <s v="OIW 2"/>
    <x v="3"/>
    <s v="SALES"/>
    <x v="0"/>
    <s v="Training"/>
    <s v="Sales &amp; Distribution Advance Training"/>
    <x v="0"/>
    <s v="April"/>
    <d v="2022-04-19T00:00:00"/>
    <d v="2022-04-19T00:00:00"/>
    <n v="4"/>
    <m/>
  </r>
  <r>
    <n v="153"/>
    <s v="DGM"/>
    <s v="05198"/>
    <s v="DANANG KRISNA"/>
    <s v="PJS AREA SALES MANAGER"/>
    <s v="OIW 3"/>
    <x v="3"/>
    <s v="SALES"/>
    <x v="0"/>
    <s v="Training"/>
    <s v="Sales &amp; Distribution Advance Training"/>
    <x v="0"/>
    <s v="April"/>
    <d v="2022-04-19T00:00:00"/>
    <d v="2022-04-19T00:00:00"/>
    <n v="4"/>
    <m/>
  </r>
  <r>
    <n v="154"/>
    <s v="DGM"/>
    <s v="13588"/>
    <s v="KHOIRUL RIZAL"/>
    <s v="SALES TRAINEE"/>
    <s v="OIE 1"/>
    <x v="4"/>
    <s v="SALES"/>
    <x v="0"/>
    <s v="Training"/>
    <s v="Sales &amp; Distribution Advance Training"/>
    <x v="0"/>
    <s v="April"/>
    <d v="2022-04-19T00:00:00"/>
    <d v="2022-04-19T00:00:00"/>
    <n v="4"/>
    <m/>
  </r>
  <r>
    <n v="155"/>
    <s v="DGM"/>
    <s v="09714"/>
    <s v="AINU ILMIATUZ"/>
    <s v="PJS AREA SALES MANAGER"/>
    <s v="OIE 3"/>
    <x v="4"/>
    <s v="SALES"/>
    <x v="0"/>
    <s v="Training"/>
    <s v="Sales &amp; Distribution Advance Training"/>
    <x v="0"/>
    <s v="April"/>
    <d v="2022-04-19T00:00:00"/>
    <d v="2022-04-19T00:00:00"/>
    <n v="4"/>
    <m/>
  </r>
  <r>
    <n v="156"/>
    <s v="DGM"/>
    <s v="09737"/>
    <s v="TATANG RIDO"/>
    <s v="AREA SALES MANAGER"/>
    <s v="OIE 2"/>
    <x v="4"/>
    <s v="SALES"/>
    <x v="0"/>
    <s v="Training"/>
    <s v="Sales &amp; Distribution Advance Training"/>
    <x v="0"/>
    <s v="April"/>
    <d v="2022-04-19T00:00:00"/>
    <d v="2022-04-19T00:00:00"/>
    <n v="4"/>
    <m/>
  </r>
  <r>
    <n v="157"/>
    <s v="DGM"/>
    <s v="09569"/>
    <s v="NURJANAH"/>
    <s v="PJS AREA SALES MANAGER"/>
    <s v="OIE 1"/>
    <x v="4"/>
    <s v="SALES"/>
    <x v="0"/>
    <s v="Training"/>
    <s v="Sales &amp; Distribution Advance Training"/>
    <x v="0"/>
    <s v="April"/>
    <d v="2022-04-19T00:00:00"/>
    <d v="2022-04-19T00:00:00"/>
    <n v="4"/>
    <m/>
  </r>
  <r>
    <n v="158"/>
    <s v="DGM"/>
    <s v="13491"/>
    <s v="ZIZAN MUSTAFA"/>
    <s v="AREA SALES MANAGER"/>
    <s v="OIE 2"/>
    <x v="4"/>
    <s v="SALES"/>
    <x v="0"/>
    <s v="Training"/>
    <s v="Sales &amp; Distribution Advance Training"/>
    <x v="0"/>
    <s v="April"/>
    <d v="2022-04-19T00:00:00"/>
    <d v="2022-04-19T00:00:00"/>
    <n v="4"/>
    <m/>
  </r>
  <r>
    <n v="159"/>
    <s v="DGM"/>
    <s v="13589"/>
    <s v="SYAHARANI EDNA"/>
    <s v="SALES TRAINEE"/>
    <s v="OIE 3"/>
    <x v="4"/>
    <s v="SALES"/>
    <x v="0"/>
    <s v="Training"/>
    <s v="Sales &amp; Distribution Advance Training"/>
    <x v="0"/>
    <s v="April"/>
    <d v="2022-04-19T00:00:00"/>
    <d v="2022-04-19T00:00:00"/>
    <n v="4"/>
    <m/>
  </r>
  <r>
    <n v="160"/>
    <s v="DGM"/>
    <s v="09579"/>
    <s v="PANJA NEKA SARI"/>
    <s v="AREA SALES MANAGER"/>
    <s v="EAST JAVA 1"/>
    <x v="2"/>
    <s v="SALES"/>
    <x v="0"/>
    <s v="Training"/>
    <s v="Sales &amp; Distribution Advance Training"/>
    <x v="0"/>
    <s v="April"/>
    <d v="2022-04-22T00:00:00"/>
    <d v="2022-04-22T00:00:00"/>
    <n v="4"/>
    <m/>
  </r>
  <r>
    <n v="161"/>
    <s v="DGM"/>
    <s v="09457"/>
    <s v="SONIA EKA PUTRI"/>
    <s v="AREA SALES MANAGER"/>
    <s v="EAST JAVA 1"/>
    <x v="2"/>
    <s v="SALES"/>
    <x v="0"/>
    <s v="Training"/>
    <s v="Sales &amp; Distribution Advance Training"/>
    <x v="0"/>
    <s v="April"/>
    <d v="2022-04-22T00:00:00"/>
    <d v="2022-04-22T00:00:00"/>
    <n v="4"/>
    <m/>
  </r>
  <r>
    <n v="162"/>
    <s v="DGM"/>
    <s v="03651"/>
    <s v="PANJI ASMARA"/>
    <s v="AREA SALES MANAGER"/>
    <s v="EAST JAVA 1"/>
    <x v="2"/>
    <s v="SALES"/>
    <x v="0"/>
    <s v="Training"/>
    <s v="Sales &amp; Distribution Advance Training"/>
    <x v="0"/>
    <s v="April"/>
    <d v="2022-04-22T00:00:00"/>
    <d v="2022-04-22T00:00:00"/>
    <n v="4"/>
    <m/>
  </r>
  <r>
    <n v="163"/>
    <s v="DGM"/>
    <s v="13543"/>
    <s v="ROSMALIA AFIANI"/>
    <s v="AREA SALES MANAGER"/>
    <s v="EAST JAVA 1"/>
    <x v="2"/>
    <s v="SALES"/>
    <x v="0"/>
    <s v="Training"/>
    <s v="Sales &amp; Distribution Advance Training"/>
    <x v="0"/>
    <s v="April"/>
    <d v="2022-04-22T00:00:00"/>
    <d v="2022-04-22T00:00:00"/>
    <n v="4"/>
    <m/>
  </r>
  <r>
    <n v="164"/>
    <s v="DGM"/>
    <s v="13434"/>
    <s v="PRIHANTINA PUTRI EKA PRASTIWI"/>
    <s v="AREA SALES MANAGER"/>
    <s v="EAST SUBDIST"/>
    <x v="2"/>
    <s v="SALES"/>
    <x v="0"/>
    <s v="Training"/>
    <s v="Sales &amp; Distribution Advance Training"/>
    <x v="0"/>
    <s v="April"/>
    <d v="2022-04-22T00:00:00"/>
    <d v="2022-04-22T00:00:00"/>
    <n v="4"/>
    <m/>
  </r>
  <r>
    <n v="165"/>
    <s v="DGM"/>
    <s v="05785"/>
    <s v="BANGUN PERSADA"/>
    <s v="AREA SALES MANAGER"/>
    <s v="EAST SUBDIST"/>
    <x v="2"/>
    <s v="SALES"/>
    <x v="0"/>
    <s v="Training"/>
    <s v="Sales &amp; Distribution Advance Training"/>
    <x v="0"/>
    <s v="April"/>
    <d v="2022-04-22T00:00:00"/>
    <d v="2022-04-22T00:00:00"/>
    <n v="4"/>
    <m/>
  </r>
  <r>
    <n v="166"/>
    <s v="DGM"/>
    <s v="06196"/>
    <s v="NANDA RAHMAN"/>
    <s v="AREA SALES MANAGER"/>
    <s v="EAST SUBDIST"/>
    <x v="2"/>
    <s v="SALES"/>
    <x v="0"/>
    <s v="Training"/>
    <s v="Sales &amp; Distribution Advance Training"/>
    <x v="0"/>
    <s v="April"/>
    <d v="2022-04-22T00:00:00"/>
    <d v="2022-04-22T00:00:00"/>
    <n v="4"/>
    <m/>
  </r>
  <r>
    <n v="167"/>
    <s v="DGM"/>
    <s v="09114"/>
    <s v="DIANA PUTRI"/>
    <s v="AREA SALES MANAGER"/>
    <s v="CENTRAL JAVA 1"/>
    <x v="1"/>
    <s v="SALES"/>
    <x v="0"/>
    <s v="Training"/>
    <s v="Sales &amp; Distribution Advance Training"/>
    <x v="0"/>
    <s v="April"/>
    <d v="2022-04-23T00:00:00"/>
    <d v="2022-04-23T00:00:00"/>
    <n v="4"/>
    <m/>
  </r>
  <r>
    <n v="168"/>
    <s v="DGM"/>
    <s v="13509"/>
    <s v="ZAKI ARFAN"/>
    <s v="AREA SALES MANAGER"/>
    <s v="CENTRAL JAVA 1"/>
    <x v="1"/>
    <s v="SALES"/>
    <x v="0"/>
    <s v="Training"/>
    <s v="Sales &amp; Distribution Advance Training"/>
    <x v="0"/>
    <s v="April"/>
    <d v="2022-04-23T00:00:00"/>
    <d v="2022-04-23T00:00:00"/>
    <n v="4"/>
    <m/>
  </r>
  <r>
    <n v="169"/>
    <s v="DGM"/>
    <s v="09472"/>
    <s v="BARA JIPI"/>
    <s v="AREA SALES MANAGER"/>
    <s v="CENTRAL JAVA 1"/>
    <x v="1"/>
    <s v="SALES"/>
    <x v="0"/>
    <s v="Training"/>
    <s v="Sales &amp; Distribution Advance Training"/>
    <x v="0"/>
    <s v="April"/>
    <d v="2022-04-23T00:00:00"/>
    <d v="2022-04-23T00:00:00"/>
    <n v="4"/>
    <m/>
  </r>
  <r>
    <n v="170"/>
    <s v="DGM"/>
    <s v="10657"/>
    <s v="ELSI UTAMI"/>
    <s v="AREA SALES MANAGER"/>
    <s v="CENTRAL JAVA 2"/>
    <x v="1"/>
    <s v="SALES"/>
    <x v="0"/>
    <s v="Training"/>
    <s v="Sales &amp; Distribution Advance Training"/>
    <x v="0"/>
    <s v="April"/>
    <d v="2022-04-23T00:00:00"/>
    <d v="2022-04-23T00:00:00"/>
    <n v="4"/>
    <m/>
  </r>
  <r>
    <n v="171"/>
    <s v="DGM"/>
    <s v="10189"/>
    <s v="ANA AFRIAN"/>
    <s v="AREA SALES MANAGER"/>
    <s v="CENTRAL JAVA 2"/>
    <x v="1"/>
    <s v="SALES"/>
    <x v="0"/>
    <s v="Training"/>
    <s v="Sales &amp; Distribution Advance Training"/>
    <x v="0"/>
    <s v="April"/>
    <d v="2022-04-23T00:00:00"/>
    <d v="2022-04-23T00:00:00"/>
    <n v="4"/>
    <m/>
  </r>
  <r>
    <n v="172"/>
    <s v="DGM"/>
    <s v="04200"/>
    <s v="JULIA SALMA AGUSTINA"/>
    <s v="AREA SALES MANAGER"/>
    <s v="CENTRAL JAVA 2"/>
    <x v="1"/>
    <s v="SALES"/>
    <x v="0"/>
    <s v="Training"/>
    <s v="Sales &amp; Distribution Advance Training"/>
    <x v="0"/>
    <s v="April"/>
    <d v="2022-04-23T00:00:00"/>
    <d v="2022-04-23T00:00:00"/>
    <n v="4"/>
    <m/>
  </r>
  <r>
    <n v="173"/>
    <s v="DGM"/>
    <s v="05833"/>
    <s v="KUSUMA WIJAYA"/>
    <s v="AREA SALES MANAGER"/>
    <s v="CENTRAL SUBDIST"/>
    <x v="1"/>
    <s v="SALES"/>
    <x v="0"/>
    <s v="Training"/>
    <s v="Sales &amp; Distribution Advance Training"/>
    <x v="0"/>
    <s v="April"/>
    <d v="2022-04-23T00:00:00"/>
    <d v="2022-04-23T00:00:00"/>
    <n v="4"/>
    <m/>
  </r>
  <r>
    <n v="174"/>
    <s v="DGM"/>
    <s v="05777"/>
    <s v="PUTRA ANANDA"/>
    <s v="AREA SALES MANAGER"/>
    <s v="CENTRAL SUBDIST"/>
    <x v="1"/>
    <s v="SALES"/>
    <x v="0"/>
    <s v="Training"/>
    <s v="Sales &amp; Distribution Advance Training"/>
    <x v="0"/>
    <s v="April"/>
    <d v="2022-04-23T00:00:00"/>
    <d v="2022-04-23T00:00:00"/>
    <n v="4"/>
    <m/>
  </r>
  <r>
    <n v="175"/>
    <s v="DGM"/>
    <s v="08384"/>
    <s v="EKA PRAFITA"/>
    <s v="AREA MANAGER"/>
    <s v="BANTEN"/>
    <x v="0"/>
    <s v="SALES"/>
    <x v="1"/>
    <s v="Training"/>
    <s v="Problem Solving- PICA"/>
    <x v="0"/>
    <s v="May"/>
    <d v="2022-05-20T00:00:00"/>
    <d v="2022-05-20T00:00:00"/>
    <n v="5"/>
    <m/>
  </r>
  <r>
    <n v="176"/>
    <s v="DGM"/>
    <s v="10735"/>
    <s v="UTAMI HIDAYATI"/>
    <s v="PJS - AREA MANAGER"/>
    <s v="BEKASI"/>
    <x v="0"/>
    <s v="SALES"/>
    <x v="1"/>
    <s v="Training"/>
    <s v="Problem Solving- PICA"/>
    <x v="0"/>
    <s v="May"/>
    <d v="2022-05-20T00:00:00"/>
    <d v="2022-05-20T00:00:00"/>
    <n v="5"/>
    <m/>
  </r>
  <r>
    <n v="177"/>
    <s v="DGM"/>
    <s v="03932"/>
    <s v="DEWI SHINTA APRILLIANA"/>
    <s v="AREA MANAGER"/>
    <s v="BOGOR"/>
    <x v="0"/>
    <s v="SALES"/>
    <x v="1"/>
    <s v="Training"/>
    <s v="Problem Solving- PICA"/>
    <x v="0"/>
    <s v="May"/>
    <d v="2022-05-20T00:00:00"/>
    <d v="2022-05-20T00:00:00"/>
    <n v="5"/>
    <m/>
  </r>
  <r>
    <n v="178"/>
    <s v="DGM"/>
    <s v="04005"/>
    <s v="ANISATYA NING DIAH"/>
    <s v="AREA MANAGER"/>
    <s v="DKI"/>
    <x v="0"/>
    <s v="SALES"/>
    <x v="1"/>
    <s v="Training"/>
    <s v="Problem Solving- PICA"/>
    <x v="0"/>
    <s v="May"/>
    <d v="2022-05-20T00:00:00"/>
    <d v="2022-05-20T00:00:00"/>
    <n v="5"/>
    <m/>
  </r>
  <r>
    <n v="179"/>
    <s v="DGM"/>
    <s v="03227"/>
    <s v="SALMA JUWITA"/>
    <s v="REGIONAL CHIEF OPERATING OFFICER"/>
    <s v="DKI"/>
    <x v="0"/>
    <s v="SALES"/>
    <x v="1"/>
    <s v="Training"/>
    <s v="Problem Solving- PICA"/>
    <x v="0"/>
    <s v="May"/>
    <d v="2022-05-20T00:00:00"/>
    <d v="2022-05-20T00:00:00"/>
    <n v="5"/>
    <m/>
  </r>
  <r>
    <n v="180"/>
    <s v="DGM"/>
    <s v="10649"/>
    <s v="SAY AZMI"/>
    <s v="PJS - AREA MANAGER"/>
    <s v="MTC"/>
    <x v="0"/>
    <s v="SALES"/>
    <x v="1"/>
    <s v="Training"/>
    <s v="Problem Solving- PICA"/>
    <x v="0"/>
    <s v="May"/>
    <d v="2022-05-20T00:00:00"/>
    <d v="2022-05-20T00:00:00"/>
    <n v="5"/>
    <m/>
  </r>
  <r>
    <n v="181"/>
    <s v="DGM"/>
    <s v="04284"/>
    <s v="DAVID BEKA"/>
    <s v="DEPUTY AREA MANAGER"/>
    <s v="WEST SUBDIST"/>
    <x v="0"/>
    <s v="SALES"/>
    <x v="1"/>
    <s v="Training"/>
    <s v="Problem Solving- PICA"/>
    <x v="0"/>
    <s v="May"/>
    <d v="2022-05-20T00:00:00"/>
    <d v="2022-05-20T00:00:00"/>
    <n v="5"/>
    <m/>
  </r>
  <r>
    <n v="182"/>
    <s v="DGM"/>
    <s v="03546"/>
    <s v="TEDY SUMAWAN"/>
    <s v="REGIONAL MANAGER OIW"/>
    <s v="OIW 1"/>
    <x v="3"/>
    <s v="SALES"/>
    <x v="1"/>
    <s v="Training"/>
    <s v="Problem Solving- PICA"/>
    <x v="0"/>
    <s v="May"/>
    <d v="2022-05-20T00:00:00"/>
    <d v="2022-05-20T00:00:00"/>
    <n v="5"/>
    <m/>
  </r>
  <r>
    <n v="183"/>
    <s v="DGM"/>
    <s v="07039"/>
    <s v="DIDI KUSUMA"/>
    <s v="AREA MANAGER"/>
    <s v="OIW 1"/>
    <x v="3"/>
    <s v="SALES"/>
    <x v="1"/>
    <s v="Training"/>
    <s v="Problem Solving- PICA"/>
    <x v="0"/>
    <s v="May"/>
    <d v="2022-05-20T00:00:00"/>
    <d v="2022-05-20T00:00:00"/>
    <n v="5"/>
    <m/>
  </r>
  <r>
    <n v="184"/>
    <s v="DGM"/>
    <s v="05837"/>
    <s v="RIDWAN NUR ADI"/>
    <s v="AREA MANAGER"/>
    <s v="OIW 2"/>
    <x v="3"/>
    <s v="SALES"/>
    <x v="1"/>
    <s v="Training"/>
    <s v="Problem Solving- PICA"/>
    <x v="0"/>
    <s v="May"/>
    <d v="2022-05-20T00:00:00"/>
    <d v="2022-05-20T00:00:00"/>
    <n v="5"/>
    <m/>
  </r>
  <r>
    <n v="185"/>
    <s v="DGM"/>
    <s v="09340"/>
    <s v="ROBERT RUDI"/>
    <s v="DEPUTY AREA MANAGER"/>
    <s v="OIW 3"/>
    <x v="3"/>
    <s v="SALES"/>
    <x v="1"/>
    <s v="Training"/>
    <s v="Problem Solving- PICA"/>
    <x v="0"/>
    <s v="May"/>
    <d v="2022-05-20T00:00:00"/>
    <d v="2022-05-20T00:00:00"/>
    <n v="5"/>
    <m/>
  </r>
  <r>
    <n v="186"/>
    <s v="DGM"/>
    <s v="06120"/>
    <s v="HENKY ARMANDO"/>
    <s v="AREA MANAGER"/>
    <s v="CENTRAL JAVA 1"/>
    <x v="1"/>
    <s v="SALES"/>
    <x v="1"/>
    <s v="Training"/>
    <s v="Problem Solving- PICA"/>
    <x v="0"/>
    <s v="May"/>
    <d v="2022-05-20T00:00:00"/>
    <d v="2022-05-20T00:00:00"/>
    <n v="5"/>
    <m/>
  </r>
  <r>
    <n v="187"/>
    <s v="DGM"/>
    <s v="09865"/>
    <s v="DONALD TRIONO"/>
    <s v="AREA MANAGER"/>
    <s v="CENTRAL JAVA 2"/>
    <x v="1"/>
    <s v="SALES"/>
    <x v="1"/>
    <s v="Training"/>
    <s v="Problem Solving- PICA"/>
    <x v="0"/>
    <s v="May"/>
    <d v="2022-05-20T00:00:00"/>
    <d v="2022-05-20T00:00:00"/>
    <n v="5"/>
    <m/>
  </r>
  <r>
    <n v="188"/>
    <s v="DGM"/>
    <s v="05278"/>
    <s v="SUGENG RAHARJA"/>
    <s v="AREA MANAGER"/>
    <s v="CENTRAL SUBDIST"/>
    <x v="1"/>
    <s v="SALES"/>
    <x v="1"/>
    <s v="Training"/>
    <s v="Problem Solving- PICA"/>
    <x v="0"/>
    <s v="May"/>
    <d v="2022-05-20T00:00:00"/>
    <d v="2022-05-20T00:00:00"/>
    <n v="5"/>
    <m/>
  </r>
  <r>
    <n v="189"/>
    <s v="DGM"/>
    <s v="09471"/>
    <s v="ANDY SETIAWAN"/>
    <s v="REGIONAL CHIEF OPERATING OFFICER"/>
    <s v="WEST JAVA 1"/>
    <x v="1"/>
    <s v="SALES"/>
    <x v="1"/>
    <s v="Training"/>
    <s v="Problem Solving- PICA"/>
    <x v="0"/>
    <s v="May"/>
    <d v="2022-05-20T00:00:00"/>
    <d v="2022-05-20T00:00:00"/>
    <n v="5"/>
    <m/>
  </r>
  <r>
    <n v="190"/>
    <s v="DGM"/>
    <s v="04357"/>
    <s v="TIMOTIUS PARYOKO"/>
    <s v="AREA MANAGER"/>
    <s v="WEST JAVA 1"/>
    <x v="1"/>
    <s v="SALES"/>
    <x v="1"/>
    <s v="Training"/>
    <s v="Problem Solving- PICA"/>
    <x v="0"/>
    <s v="May"/>
    <d v="2022-05-20T00:00:00"/>
    <d v="2022-05-20T00:00:00"/>
    <n v="5"/>
    <m/>
  </r>
  <r>
    <n v="191"/>
    <s v="DGM"/>
    <s v="08962"/>
    <s v="ARDHY WIJAYA"/>
    <s v="AREA MANAGER"/>
    <s v="WEST JAVA 2"/>
    <x v="1"/>
    <s v="SALES"/>
    <x v="1"/>
    <s v="Training"/>
    <s v="Problem Solving- PICA"/>
    <x v="0"/>
    <s v="May"/>
    <d v="2022-05-20T00:00:00"/>
    <d v="2022-05-20T00:00:00"/>
    <n v="5"/>
    <m/>
  </r>
  <r>
    <n v="192"/>
    <s v="DGM"/>
    <s v="03113"/>
    <s v="GANJAR SUBIYAKTO"/>
    <s v="REGIONAL CHIEF OPERATING OFFICER"/>
    <s v="EAST JAVA 1"/>
    <x v="2"/>
    <s v="SALES"/>
    <x v="1"/>
    <s v="Training"/>
    <s v="Problem Solving- PICA"/>
    <x v="0"/>
    <s v="May"/>
    <d v="2022-05-20T00:00:00"/>
    <d v="2022-05-20T00:00:00"/>
    <n v="5"/>
    <m/>
  </r>
  <r>
    <n v="193"/>
    <s v="DGM"/>
    <s v="04327"/>
    <s v="JOKO WARDOYO"/>
    <s v="AREA MANAGER"/>
    <s v="EAST JAVA 1"/>
    <x v="2"/>
    <s v="SALES"/>
    <x v="1"/>
    <s v="Training"/>
    <s v="Problem Solving- PICA"/>
    <x v="0"/>
    <s v="May"/>
    <d v="2022-05-20T00:00:00"/>
    <d v="2022-05-20T00:00:00"/>
    <n v="5"/>
    <m/>
  </r>
  <r>
    <n v="194"/>
    <s v="DGM"/>
    <s v="04830"/>
    <s v="DEDEN JUNIARTO"/>
    <s v="AREA MANAGER"/>
    <s v="EAST SUBDIST"/>
    <x v="2"/>
    <s v="SALES"/>
    <x v="1"/>
    <s v="Training"/>
    <s v="Problem Solving- PICA"/>
    <x v="0"/>
    <s v="May"/>
    <d v="2022-05-20T00:00:00"/>
    <d v="2022-05-20T00:00:00"/>
    <n v="5"/>
    <m/>
  </r>
  <r>
    <n v="195"/>
    <s v="DGM"/>
    <s v="05988"/>
    <s v="JULIANA JAYA"/>
    <s v="DEPUTY AREA MANAGER"/>
    <s v="OIE 1"/>
    <x v="4"/>
    <s v="SALES"/>
    <x v="1"/>
    <s v="Training"/>
    <s v="Problem Solving- PICA"/>
    <x v="0"/>
    <s v="May"/>
    <d v="2022-05-20T00:00:00"/>
    <d v="2022-05-20T00:00:00"/>
    <n v="5"/>
    <m/>
  </r>
  <r>
    <n v="196"/>
    <s v="DGM"/>
    <s v="09201"/>
    <s v="DIAH AYU PERMATA"/>
    <s v="AREA MANAGER"/>
    <s v="OIE 1"/>
    <x v="4"/>
    <s v="SALES"/>
    <x v="1"/>
    <s v="Training"/>
    <s v="Problem Solving- PICA"/>
    <x v="0"/>
    <s v="May"/>
    <d v="2022-05-20T00:00:00"/>
    <d v="2022-05-20T00:00:00"/>
    <n v="5"/>
    <m/>
  </r>
  <r>
    <n v="197"/>
    <s v="DGM"/>
    <s v="09168"/>
    <s v="MILLA FARIHA"/>
    <s v="DEPUTY AREA MANAGER"/>
    <s v="OIE 2"/>
    <x v="4"/>
    <s v="SALES"/>
    <x v="1"/>
    <s v="Training"/>
    <s v="Problem Solving- PICA"/>
    <x v="0"/>
    <s v="May"/>
    <d v="2022-05-20T00:00:00"/>
    <d v="2022-05-20T00:00:00"/>
    <n v="5"/>
    <m/>
  </r>
  <r>
    <n v="198"/>
    <s v="DGM"/>
    <s v="10428"/>
    <s v="RAUL CHRISNA"/>
    <s v="SENIOR BUSINESS MANAGER SUBDIST"/>
    <s v="HO"/>
    <x v="5"/>
    <s v="SALES"/>
    <x v="1"/>
    <s v="Training"/>
    <s v="Problem Solving- PICA"/>
    <x v="0"/>
    <s v="May"/>
    <d v="2022-05-20T00:00:00"/>
    <d v="2022-05-20T00:00:00"/>
    <n v="5"/>
    <m/>
  </r>
  <r>
    <n v="199"/>
    <s v="DGM"/>
    <s v="11671"/>
    <s v="ANJU MIRA"/>
    <s v="SYSTEM &amp; STRATEGIC DEVELOPMENT SENIOR ASSOCIATE"/>
    <s v="HO"/>
    <x v="5"/>
    <s v="SALES"/>
    <x v="1"/>
    <s v="Training"/>
    <s v="Problem Solving- PICA"/>
    <x v="0"/>
    <s v="May"/>
    <d v="2022-05-20T00:00:00"/>
    <d v="2022-05-20T00:00:00"/>
    <n v="5"/>
    <m/>
  </r>
  <r>
    <n v="200"/>
    <s v="DGM"/>
    <s v="04033"/>
    <s v="ANDRE AUSHA"/>
    <s v="LOGISTIC OPERATION MANAGER"/>
    <s v="HO"/>
    <x v="5"/>
    <s v="LOGISTIC"/>
    <x v="1"/>
    <s v="Training"/>
    <s v="Supply Chain Management on Distribution Planning (SCMODP)"/>
    <x v="0"/>
    <s v="June"/>
    <d v="2022-06-02T00:00:00"/>
    <d v="2022-06-02T00:00:00"/>
    <n v="3.5"/>
    <m/>
  </r>
  <r>
    <n v="201"/>
    <s v="DGM"/>
    <s v="03968"/>
    <s v="ELVIRA CALLISTA RASYA"/>
    <s v="AREA LOGISTIC JR MANAGER"/>
    <s v="BANTEN"/>
    <x v="0"/>
    <s v="LOGISTIC"/>
    <x v="0"/>
    <s v="Training"/>
    <s v="PDCA"/>
    <x v="0"/>
    <s v="June"/>
    <d v="2022-06-15T00:00:00"/>
    <d v="2022-06-15T00:00:00"/>
    <n v="8"/>
    <m/>
  </r>
  <r>
    <n v="202"/>
    <s v="DGM"/>
    <s v="14076"/>
    <s v="GIOVANI PUTRI RAHMADINI"/>
    <s v="HR &amp; GA SUPERVISOR"/>
    <s v="BANTEN"/>
    <x v="0"/>
    <s v="HR &amp; GA"/>
    <x v="0"/>
    <s v="Training"/>
    <s v="PDCA"/>
    <x v="0"/>
    <s v="June"/>
    <d v="2022-06-15T00:00:00"/>
    <d v="2022-06-15T00:00:00"/>
    <n v="8"/>
    <m/>
  </r>
  <r>
    <n v="203"/>
    <s v="DGM"/>
    <s v="10568"/>
    <s v="ISFAHANI PRAMONO JATI"/>
    <s v="AREA FINANCE &amp; ACCOUNTING JR MANAGER"/>
    <s v="BANTEN"/>
    <x v="0"/>
    <s v="ACCOUNTING"/>
    <x v="0"/>
    <s v="Training"/>
    <s v="PDCA"/>
    <x v="0"/>
    <s v="June"/>
    <d v="2022-06-15T00:00:00"/>
    <d v="2022-06-15T00:00:00"/>
    <n v="8"/>
    <m/>
  </r>
  <r>
    <n v="204"/>
    <s v="DGM"/>
    <s v="10797"/>
    <s v="NIGEL DIMAS HARIES PRIHANGGORO"/>
    <s v="HR &amp; GA SUPERVISOR"/>
    <s v="BEKASI"/>
    <x v="0"/>
    <s v="HR &amp; GA"/>
    <x v="0"/>
    <s v="Training"/>
    <s v="PDCA"/>
    <x v="0"/>
    <s v="June"/>
    <d v="2022-06-15T00:00:00"/>
    <d v="2022-06-15T00:00:00"/>
    <n v="8"/>
    <m/>
  </r>
  <r>
    <n v="205"/>
    <s v="DGM"/>
    <s v="03167"/>
    <s v="IKA WIDYAWATI"/>
    <s v="AREA LOGISTIC JR MANAGER"/>
    <s v="BEKASI"/>
    <x v="0"/>
    <s v="LOGISTIC"/>
    <x v="0"/>
    <s v="Training"/>
    <s v="PDCA"/>
    <x v="0"/>
    <s v="June"/>
    <d v="2022-06-15T00:00:00"/>
    <d v="2022-06-15T00:00:00"/>
    <n v="8"/>
    <m/>
  </r>
  <r>
    <n v="206"/>
    <s v="DGM"/>
    <s v="14167"/>
    <s v="DEWI AYU LESTARI"/>
    <s v="REGIONAL LOGISTIC MANAGER"/>
    <s v="BEKASI"/>
    <x v="0"/>
    <s v="LOGISTIC"/>
    <x v="0"/>
    <s v="Training"/>
    <s v="PDCA"/>
    <x v="0"/>
    <s v="June"/>
    <d v="2022-06-15T00:00:00"/>
    <d v="2022-06-15T00:00:00"/>
    <n v="8"/>
    <m/>
  </r>
  <r>
    <n v="207"/>
    <s v="DGM"/>
    <s v="11470"/>
    <s v="DIVYA SAFIRA FALDASARI"/>
    <s v="AREA FINANCE &amp; ACCOUNTING JR MANAGER"/>
    <s v="BOGOR"/>
    <x v="0"/>
    <s v="ACCOUNTING"/>
    <x v="0"/>
    <s v="Training"/>
    <s v="PDCA"/>
    <x v="0"/>
    <s v="June"/>
    <d v="2022-06-15T00:00:00"/>
    <d v="2022-06-15T00:00:00"/>
    <n v="8"/>
    <m/>
  </r>
  <r>
    <n v="208"/>
    <s v="DGM"/>
    <s v="03190"/>
    <s v="BAMBANG JOHARI"/>
    <s v="R F A M"/>
    <s v="BOGOR"/>
    <x v="0"/>
    <s v="ACCOUNTING"/>
    <x v="0"/>
    <s v="Training"/>
    <s v="PDCA"/>
    <x v="0"/>
    <s v="June"/>
    <d v="2022-06-15T00:00:00"/>
    <d v="2022-06-15T00:00:00"/>
    <n v="8"/>
    <m/>
  </r>
  <r>
    <n v="209"/>
    <s v="DGM"/>
    <s v="03589"/>
    <s v="YOGA PRASETYA"/>
    <s v="HR &amp; GA SUPERVISOR"/>
    <s v="BOGOR"/>
    <x v="0"/>
    <s v="HR &amp; GA"/>
    <x v="0"/>
    <s v="Training"/>
    <s v="PDCA"/>
    <x v="0"/>
    <s v="June"/>
    <d v="2022-06-15T00:00:00"/>
    <d v="2022-06-15T00:00:00"/>
    <n v="8"/>
    <m/>
  </r>
  <r>
    <n v="210"/>
    <s v="DGM"/>
    <s v="04880"/>
    <s v="RAFI FAUZAN ERDIANSYAH"/>
    <s v="AREA LOGISTIC JR MANAGER"/>
    <s v="BOGOR"/>
    <x v="0"/>
    <s v="LOGISTIC"/>
    <x v="0"/>
    <s v="Training"/>
    <s v="PDCA"/>
    <x v="0"/>
    <s v="June"/>
    <d v="2022-06-15T00:00:00"/>
    <d v="2022-06-15T00:00:00"/>
    <n v="8"/>
    <m/>
  </r>
  <r>
    <n v="211"/>
    <s v="DGM"/>
    <s v="03873"/>
    <s v="TASYA PUTRI HANI NINTYAS"/>
    <s v="REGIONAL HRGA MANAGER"/>
    <s v="DKI"/>
    <x v="0"/>
    <s v="HR &amp; GA"/>
    <x v="0"/>
    <s v="Training"/>
    <s v="PDCA"/>
    <x v="0"/>
    <s v="June"/>
    <d v="2022-06-15T00:00:00"/>
    <d v="2022-06-15T00:00:00"/>
    <n v="8"/>
    <m/>
  </r>
  <r>
    <n v="212"/>
    <s v="DGM"/>
    <s v="11427"/>
    <s v="MAYA RISMA HANI"/>
    <s v="AREA FINANCE &amp; ACCOUNTING JR MANAGER"/>
    <s v="DKI"/>
    <x v="0"/>
    <s v="ACCOUNTING"/>
    <x v="0"/>
    <s v="Training"/>
    <s v="PDCA"/>
    <x v="0"/>
    <s v="June"/>
    <d v="2022-06-15T00:00:00"/>
    <d v="2022-06-15T00:00:00"/>
    <n v="8"/>
    <m/>
  </r>
  <r>
    <n v="213"/>
    <s v="DGM"/>
    <s v="14169"/>
    <s v="BAGAS ADI"/>
    <s v="REGIONAL HRGA MANAGER"/>
    <s v="DKI"/>
    <x v="0"/>
    <s v="HR &amp; GA"/>
    <x v="0"/>
    <s v="Training"/>
    <s v="PDCA"/>
    <x v="0"/>
    <s v="June"/>
    <d v="2022-06-15T00:00:00"/>
    <d v="2022-06-15T00:00:00"/>
    <n v="8"/>
    <m/>
  </r>
  <r>
    <n v="214"/>
    <s v="DGM"/>
    <s v="04303"/>
    <s v="NABILA ZAIDA"/>
    <s v="AREA LOGISTIC JR MANAGER"/>
    <s v="DKI"/>
    <x v="0"/>
    <s v="LOGISTIC"/>
    <x v="0"/>
    <s v="Training"/>
    <s v="PDCA"/>
    <x v="0"/>
    <s v="June"/>
    <d v="2022-06-15T00:00:00"/>
    <d v="2022-06-15T00:00:00"/>
    <n v="8"/>
    <m/>
  </r>
  <r>
    <n v="215"/>
    <s v="DGM"/>
    <s v="05690"/>
    <s v="HARTUTI WIJAYA"/>
    <s v="R F A M"/>
    <s v="DKI"/>
    <x v="0"/>
    <s v="ACCOUNTING"/>
    <x v="0"/>
    <s v="Training"/>
    <s v="PDCA"/>
    <x v="0"/>
    <s v="June"/>
    <d v="2022-06-15T00:00:00"/>
    <d v="2022-06-15T00:00:00"/>
    <n v="8"/>
    <m/>
  </r>
  <r>
    <n v="216"/>
    <s v="DGM"/>
    <s v="04205"/>
    <s v="ESTA DYAH ANDRIANI"/>
    <s v="PERSONNEL OFFICER"/>
    <s v="DKI"/>
    <x v="0"/>
    <s v="HR &amp; GA"/>
    <x v="0"/>
    <s v="Training"/>
    <s v="PDCA"/>
    <x v="0"/>
    <s v="June"/>
    <d v="2022-06-15T00:00:00"/>
    <d v="2022-06-15T00:00:00"/>
    <n v="8"/>
    <m/>
  </r>
  <r>
    <n v="217"/>
    <s v="DGM"/>
    <s v="04118"/>
    <s v="DYAN PRIYANDONO"/>
    <s v="AREA FINANCE &amp; ACCOUNTING JR MANAGER"/>
    <s v="MTC"/>
    <x v="0"/>
    <s v="ACCOUNTING"/>
    <x v="0"/>
    <s v="Training"/>
    <s v="PDCA"/>
    <x v="0"/>
    <s v="June"/>
    <d v="2022-06-15T00:00:00"/>
    <d v="2022-06-15T00:00:00"/>
    <n v="8"/>
    <m/>
  </r>
  <r>
    <n v="218"/>
    <s v="DGM"/>
    <s v="04182"/>
    <s v="ERLI ARMELIA"/>
    <s v="GA COORDINATOR"/>
    <s v="MTC"/>
    <x v="0"/>
    <s v="HR &amp; GA"/>
    <x v="0"/>
    <s v="Training"/>
    <s v="PDCA"/>
    <x v="0"/>
    <s v="June"/>
    <d v="2022-06-15T00:00:00"/>
    <d v="2022-06-15T00:00:00"/>
    <n v="8"/>
    <m/>
  </r>
  <r>
    <n v="219"/>
    <s v="DGM"/>
    <s v="04764"/>
    <s v="SAMUEL EDISON"/>
    <s v="PJS AREA FINANCE &amp; ACCOUNTING JR MANAGER"/>
    <s v="OIW 1"/>
    <x v="3"/>
    <s v="ACCOUNTING"/>
    <x v="0"/>
    <s v="Training"/>
    <s v="PDCA"/>
    <x v="0"/>
    <s v="June"/>
    <d v="2022-06-15T00:00:00"/>
    <d v="2022-06-15T00:00:00"/>
    <n v="8"/>
    <m/>
  </r>
  <r>
    <n v="220"/>
    <s v="DGM"/>
    <s v="11483"/>
    <s v="NANDA PUTRI SETIAMUKTI"/>
    <s v="INVENTORY JUNIOR MANAGER"/>
    <s v="HO"/>
    <x v="5"/>
    <s v="LOGISTIC"/>
    <x v="0"/>
    <s v="Training"/>
    <s v="PDCA"/>
    <x v="0"/>
    <s v="June"/>
    <d v="2022-06-15T00:00:00"/>
    <d v="2022-06-15T00:00:00"/>
    <n v="8"/>
    <m/>
  </r>
  <r>
    <n v="221"/>
    <s v="DGM"/>
    <s v="04037"/>
    <s v="DIMAS AMIRUDIN"/>
    <s v="LOGISTIC &amp; DISTRIBUTION JUNIOR MANAGER"/>
    <s v="HO"/>
    <x v="5"/>
    <s v="LOGISTIC"/>
    <x v="0"/>
    <s v="Training"/>
    <s v="PDCA"/>
    <x v="0"/>
    <s v="June"/>
    <d v="2022-06-15T00:00:00"/>
    <d v="2022-06-15T00:00:00"/>
    <n v="8"/>
    <m/>
  </r>
  <r>
    <n v="222"/>
    <s v="DGM"/>
    <s v="14032"/>
    <s v="DIVA RUSDI NUR"/>
    <s v="PERSONNEL OFFICER"/>
    <s v="BEKASI"/>
    <x v="0"/>
    <s v="HR &amp; GA"/>
    <x v="0"/>
    <s v="Training"/>
    <s v="PDCA"/>
    <x v="0"/>
    <s v="June"/>
    <d v="2022-06-15T00:00:00"/>
    <d v="2022-06-15T00:00:00"/>
    <n v="8"/>
    <m/>
  </r>
  <r>
    <n v="223"/>
    <s v="DGM"/>
    <s v="01144"/>
    <s v="DANI RAFIKADURI"/>
    <s v="REGIONAL HRGA MANAGER"/>
    <s v="EAST JAVA 1"/>
    <x v="2"/>
    <s v="HR &amp; GA"/>
    <x v="0"/>
    <s v="Training"/>
    <s v="PDCA"/>
    <x v="0"/>
    <s v="June"/>
    <d v="2022-06-18T00:00:00"/>
    <d v="2022-06-18T00:00:00"/>
    <n v="8"/>
    <m/>
  </r>
  <r>
    <n v="224"/>
    <s v="DGM"/>
    <s v="03027"/>
    <s v="SATRIA ARDI"/>
    <s v="AREA FINANCE &amp; ACCOUNTING JR MANAGER"/>
    <s v="EAST JAVA 1"/>
    <x v="2"/>
    <s v="ACCOUNTING"/>
    <x v="0"/>
    <s v="Training"/>
    <s v="PDCA"/>
    <x v="0"/>
    <s v="June"/>
    <d v="2022-06-18T00:00:00"/>
    <d v="2022-06-18T00:00:00"/>
    <n v="8"/>
    <m/>
  </r>
  <r>
    <n v="225"/>
    <s v="DGM"/>
    <s v="13393"/>
    <s v="BAHTIAR HAKIM"/>
    <s v="AREA LOGISTIC JR MANAGER"/>
    <s v="EAST JAVA 1"/>
    <x v="2"/>
    <s v="LOGISTIC"/>
    <x v="0"/>
    <s v="Training"/>
    <s v="PDCA"/>
    <x v="0"/>
    <s v="June"/>
    <d v="2022-06-18T00:00:00"/>
    <d v="2022-06-18T00:00:00"/>
    <n v="8"/>
    <m/>
  </r>
  <r>
    <n v="226"/>
    <s v="DGM"/>
    <s v="02663"/>
    <s v="BAYU KURNIAWAN"/>
    <s v="GA COORDINATOR"/>
    <s v="EAST JAVA 1"/>
    <x v="2"/>
    <s v="HR &amp; GA"/>
    <x v="0"/>
    <s v="Training"/>
    <s v="PDCA"/>
    <x v="0"/>
    <s v="June"/>
    <d v="2022-06-18T00:00:00"/>
    <d v="2022-06-18T00:00:00"/>
    <n v="8"/>
    <m/>
  </r>
  <r>
    <n v="227"/>
    <s v="DGM"/>
    <s v="03127"/>
    <s v="LULUK ERNASARI"/>
    <s v="R F A M"/>
    <s v="EAST SUBDIST"/>
    <x v="2"/>
    <s v="ACCOUNTING"/>
    <x v="0"/>
    <s v="Training"/>
    <s v="PDCA"/>
    <x v="0"/>
    <s v="June"/>
    <d v="2022-06-18T00:00:00"/>
    <d v="2022-06-18T00:00:00"/>
    <n v="8"/>
    <m/>
  </r>
  <r>
    <n v="228"/>
    <s v="DGM"/>
    <s v="09169"/>
    <s v="TARKAM DAMAI"/>
    <s v="REGIONAL LOGISTIC MANAGER"/>
    <s v="OIE 1"/>
    <x v="2"/>
    <s v="LOGISTIC"/>
    <x v="0"/>
    <s v="Training"/>
    <s v="PDCA"/>
    <x v="0"/>
    <s v="June"/>
    <d v="2022-06-18T00:00:00"/>
    <d v="2022-06-18T00:00:00"/>
    <n v="8"/>
    <m/>
  </r>
  <r>
    <n v="229"/>
    <s v="DGM"/>
    <s v="05682"/>
    <s v="FAJAR PRASETYO"/>
    <s v="PJS AREA FINANCE &amp; ACCOUNTING JR MANAGER"/>
    <s v="OIE 2"/>
    <x v="2"/>
    <s v="ACCOUNTING"/>
    <x v="0"/>
    <s v="Training"/>
    <s v="PDCA"/>
    <x v="0"/>
    <s v="June"/>
    <d v="2022-06-18T00:00:00"/>
    <d v="2022-06-18T00:00:00"/>
    <n v="8"/>
    <m/>
  </r>
  <r>
    <n v="230"/>
    <s v="DGM"/>
    <s v="04281"/>
    <s v="AHMAD LUTHFIL HAKIM"/>
    <s v="AREA LOGISTIC JR MANAGER"/>
    <s v="CENTRAL JAVA 1"/>
    <x v="1"/>
    <s v="LOGISTIC"/>
    <x v="0"/>
    <s v="Training"/>
    <s v="PDCA"/>
    <x v="0"/>
    <s v="June"/>
    <d v="2022-06-21T00:00:00"/>
    <d v="2022-06-21T00:00:00"/>
    <n v="8"/>
    <m/>
  </r>
  <r>
    <n v="231"/>
    <s v="DGM"/>
    <s v="03742"/>
    <s v="SELVIA ZAHRA"/>
    <s v="HR &amp; GA SUPERVISOR"/>
    <s v="CENTRAL JAVA 1"/>
    <x v="1"/>
    <s v="ACCOUNTING"/>
    <x v="0"/>
    <s v="Training"/>
    <s v="PDCA"/>
    <x v="0"/>
    <s v="June"/>
    <d v="2022-06-21T00:00:00"/>
    <d v="2022-06-21T00:00:00"/>
    <n v="8"/>
    <m/>
  </r>
  <r>
    <n v="232"/>
    <s v="DGM"/>
    <s v="11738"/>
    <s v="EKO SUGIARTO"/>
    <s v="HR &amp; GA SUPERVISOR"/>
    <s v="CENTRAL JAVA 1"/>
    <x v="1"/>
    <s v="ACCOUNTING"/>
    <x v="0"/>
    <s v="Training"/>
    <s v="PDCA"/>
    <x v="0"/>
    <s v="June"/>
    <d v="2022-06-21T00:00:00"/>
    <d v="2022-06-21T00:00:00"/>
    <n v="8"/>
    <m/>
  </r>
  <r>
    <n v="233"/>
    <s v="DGM"/>
    <s v="14151"/>
    <s v="MUSLIKHAN"/>
    <s v="HR &amp; GA SUPERVISOR"/>
    <s v="CENTRAL JAVA 1"/>
    <x v="1"/>
    <s v="HR &amp; GA"/>
    <x v="0"/>
    <s v="Training"/>
    <s v="PDCA"/>
    <x v="0"/>
    <s v="June"/>
    <d v="2022-06-21T00:00:00"/>
    <d v="2022-06-21T00:00:00"/>
    <n v="8"/>
    <m/>
  </r>
  <r>
    <n v="234"/>
    <s v="DGM"/>
    <s v="05085"/>
    <s v="GILANG SUKMA MAHARDHIKA"/>
    <s v="AREA LOGISTIC JR MANAGER"/>
    <s v="CENTRAL JAVA 2"/>
    <x v="1"/>
    <s v="LOGISTIC"/>
    <x v="0"/>
    <s v="Training"/>
    <s v="PDCA"/>
    <x v="0"/>
    <s v="June"/>
    <d v="2022-06-21T00:00:00"/>
    <d v="2022-06-21T00:00:00"/>
    <n v="8"/>
    <m/>
  </r>
  <r>
    <n v="235"/>
    <s v="DGM"/>
    <s v="09539"/>
    <s v="AHMAD MULUDDIN"/>
    <s v="HRGA COORDINATOR"/>
    <s v="CENTRAL JAVA 2"/>
    <x v="1"/>
    <s v="HR &amp; GA"/>
    <x v="0"/>
    <s v="Training"/>
    <s v="PDCA"/>
    <x v="0"/>
    <s v="June"/>
    <d v="2022-06-21T00:00:00"/>
    <d v="2022-06-21T00:00:00"/>
    <n v="8"/>
    <m/>
  </r>
  <r>
    <n v="236"/>
    <s v="DGM"/>
    <s v="10107"/>
    <s v="DWI FAJARIONO"/>
    <s v="AREA FINANCE &amp; ACCOUNTING JR MANAGER"/>
    <s v="CENTRAL JAVA 2"/>
    <x v="1"/>
    <s v="ACCOUNTING"/>
    <x v="0"/>
    <s v="Training"/>
    <s v="PDCA"/>
    <x v="0"/>
    <s v="June"/>
    <d v="2022-06-21T00:00:00"/>
    <d v="2022-06-21T00:00:00"/>
    <n v="8"/>
    <m/>
  </r>
  <r>
    <n v="237"/>
    <s v="DGM"/>
    <s v="10102"/>
    <s v="MIRNA ROSITA"/>
    <s v="HRGA COORDINATOR"/>
    <s v="CENTRAL JAVA 2"/>
    <x v="1"/>
    <s v="HR &amp; GA"/>
    <x v="0"/>
    <s v="Training"/>
    <s v="PDCA"/>
    <x v="0"/>
    <s v="June"/>
    <d v="2022-06-21T00:00:00"/>
    <d v="2022-06-21T00:00:00"/>
    <n v="8"/>
    <m/>
  </r>
  <r>
    <n v="238"/>
    <s v="DGM"/>
    <s v="03208"/>
    <s v="CLARISA ADINDA W"/>
    <s v="PJS AREA FINANCE &amp; ACCOUNTING JR MANAGER"/>
    <s v="CENTRAL SUBDIST"/>
    <x v="1"/>
    <s v="ACCOUNTING"/>
    <x v="0"/>
    <s v="Training"/>
    <s v="PDCA"/>
    <x v="0"/>
    <s v="June"/>
    <d v="2022-06-21T00:00:00"/>
    <d v="2022-06-21T00:00:00"/>
    <n v="8"/>
    <m/>
  </r>
  <r>
    <n v="239"/>
    <s v="DGM"/>
    <s v="03761"/>
    <s v="DEVI BUDI ARIANA"/>
    <s v="AREA LOGISTIC JR MANAGER"/>
    <s v="WEST JAVA 1"/>
    <x v="1"/>
    <s v="LOGISTIC"/>
    <x v="0"/>
    <s v="Training"/>
    <s v="PDCA"/>
    <x v="0"/>
    <s v="June"/>
    <d v="2022-06-21T00:00:00"/>
    <d v="2022-06-21T00:00:00"/>
    <n v="8"/>
    <m/>
  </r>
  <r>
    <n v="240"/>
    <s v="DGM"/>
    <s v="03963"/>
    <s v="INDRIANI DINI MUSTAVA"/>
    <s v="HR &amp; GA SUPERVISOR"/>
    <s v="WEST JAVA 1"/>
    <x v="1"/>
    <s v="HR &amp; GA"/>
    <x v="0"/>
    <s v="Training"/>
    <s v="PDCA"/>
    <x v="0"/>
    <s v="June"/>
    <d v="2022-06-21T00:00:00"/>
    <d v="2022-06-21T00:00:00"/>
    <n v="8"/>
    <m/>
  </r>
  <r>
    <n v="241"/>
    <s v="DGM"/>
    <s v="11640"/>
    <s v="RANDY PETRA KAMAZ"/>
    <s v="REGIONAL HRGA MANAGER"/>
    <s v="WEST JAVA 1"/>
    <x v="1"/>
    <s v="HR &amp; GA"/>
    <x v="0"/>
    <s v="Training"/>
    <s v="PDCA"/>
    <x v="0"/>
    <s v="June"/>
    <d v="2022-06-21T00:00:00"/>
    <d v="2022-06-21T00:00:00"/>
    <n v="8"/>
    <m/>
  </r>
  <r>
    <n v="242"/>
    <s v="DGM"/>
    <s v="07194"/>
    <s v="WENDY AURAN PETRAZ"/>
    <s v="AREA FINANCE &amp; ACCOUNTING JR MANAGER"/>
    <s v="WEST JAVA 1"/>
    <x v="1"/>
    <s v="ACCOUNTING"/>
    <x v="0"/>
    <s v="Training"/>
    <s v="PDCA"/>
    <x v="0"/>
    <s v="June"/>
    <d v="2022-06-21T00:00:00"/>
    <d v="2022-06-21T00:00:00"/>
    <n v="8"/>
    <m/>
  </r>
  <r>
    <n v="243"/>
    <s v="DGM"/>
    <s v="13701"/>
    <s v="RONI MUJIANTO"/>
    <s v="REGIONAL LOGISTIC MANAGER"/>
    <s v="WEST JAVA 1"/>
    <x v="1"/>
    <s v="LOGISTIC"/>
    <x v="0"/>
    <s v="Training"/>
    <s v="PDCA"/>
    <x v="0"/>
    <s v="June"/>
    <d v="2022-06-21T00:00:00"/>
    <d v="2022-06-21T00:00:00"/>
    <n v="8"/>
    <m/>
  </r>
  <r>
    <n v="244"/>
    <s v="DGM"/>
    <s v="03945"/>
    <s v="AJENG RISMA NOVITA PUTRI"/>
    <s v="AREA LOGISTIC JR MANAGER"/>
    <s v="WEST JAVA 2"/>
    <x v="1"/>
    <s v="LOGISTIC"/>
    <x v="0"/>
    <s v="Training"/>
    <s v="PDCA"/>
    <x v="0"/>
    <s v="June"/>
    <d v="2022-06-21T00:00:00"/>
    <d v="2022-06-21T00:00:00"/>
    <n v="8"/>
    <m/>
  </r>
  <r>
    <n v="245"/>
    <s v="DGM"/>
    <s v="10333"/>
    <s v="PITASARI"/>
    <s v="HRGA COORDINATOR"/>
    <s v="WEST JAVA 2"/>
    <x v="1"/>
    <s v="HR &amp; GA"/>
    <x v="0"/>
    <s v="Training"/>
    <s v="PDCA"/>
    <x v="0"/>
    <s v="June"/>
    <d v="2022-06-21T00:00:00"/>
    <d v="2022-06-21T00:00:00"/>
    <n v="8"/>
    <m/>
  </r>
  <r>
    <n v="246"/>
    <s v="DGM"/>
    <s v="05124"/>
    <s v="FITRI ANA LESTARI"/>
    <s v="AREA FINANCE &amp; ACCOUNTING JR MANAGER"/>
    <s v="WEST JAVA 2"/>
    <x v="1"/>
    <s v="ACCOUNTING"/>
    <x v="0"/>
    <s v="Training"/>
    <s v="PDCA"/>
    <x v="0"/>
    <s v="June"/>
    <d v="2022-06-21T00:00:00"/>
    <d v="2022-06-21T00:00:00"/>
    <n v="8"/>
    <m/>
  </r>
  <r>
    <n v="247"/>
    <s v="DGM"/>
    <s v="14048"/>
    <s v="WINARTI"/>
    <s v="AREA SALES MANAGER"/>
    <s v="MTC"/>
    <x v="0"/>
    <s v="SALES"/>
    <x v="0"/>
    <s v="Training"/>
    <s v="PDCA"/>
    <x v="0"/>
    <s v="June"/>
    <d v="2022-06-24T00:00:00"/>
    <d v="2022-06-24T00:00:00"/>
    <n v="8"/>
    <m/>
  </r>
  <r>
    <n v="248"/>
    <s v="DGM"/>
    <s v="09821"/>
    <s v="JAUFA WAHYU ADI"/>
    <s v="PJS - AREA SALES MANAGER"/>
    <s v="MTC"/>
    <x v="0"/>
    <s v="SALES"/>
    <x v="0"/>
    <s v="Training"/>
    <s v="PDCA"/>
    <x v="0"/>
    <s v="June"/>
    <d v="2022-06-24T00:00:00"/>
    <d v="2022-06-24T00:00:00"/>
    <n v="8"/>
    <m/>
  </r>
  <r>
    <n v="249"/>
    <s v="DGM"/>
    <s v="09613"/>
    <s v="DONALD KUSUMA"/>
    <s v="AREA SALES MANAGER"/>
    <s v="WEST SUBDIST"/>
    <x v="0"/>
    <s v="SALES"/>
    <x v="0"/>
    <s v="Training"/>
    <s v="PDCA"/>
    <x v="0"/>
    <s v="June"/>
    <d v="2022-06-24T00:00:00"/>
    <d v="2022-06-24T00:00:00"/>
    <n v="8"/>
    <m/>
  </r>
  <r>
    <n v="250"/>
    <s v="DGM"/>
    <s v="13401"/>
    <s v="BAMBANG WIRANTO"/>
    <s v="PERSONNEL &amp; CB ASSOCIATE"/>
    <s v="HO"/>
    <x v="5"/>
    <s v="HR &amp; GA"/>
    <x v="1"/>
    <s v="Training"/>
    <s v="Certified Salary Structure Designer"/>
    <x v="0"/>
    <s v="June"/>
    <d v="2022-06-24T00:00:00"/>
    <d v="2022-06-26T00:00:00"/>
    <n v="8"/>
    <s v="Solusi Consulting"/>
  </r>
  <r>
    <n v="251"/>
    <s v="DGM"/>
    <s v="11049"/>
    <s v="MARCELINO IRGI SAPUTRA"/>
    <s v="PJS - FIELD SALES SUPERVISOR"/>
    <s v="BANTEN"/>
    <x v="0"/>
    <s v="SALES"/>
    <x v="0"/>
    <s v="Training"/>
    <s v="TTT Basic Sales Module"/>
    <x v="0"/>
    <s v="July"/>
    <d v="2022-07-12T00:00:00"/>
    <d v="2022-07-12T00:00:00"/>
    <n v="8"/>
    <m/>
  </r>
  <r>
    <n v="252"/>
    <s v="DGM"/>
    <s v="14139"/>
    <s v="BARLIANA DYAN PUSPITA"/>
    <s v="FIELD SALES SUPERVISOR"/>
    <s v="CENTRAL JAVA 1"/>
    <x v="1"/>
    <s v="SALES"/>
    <x v="0"/>
    <s v="Training"/>
    <s v="TTT Basic Sales Module"/>
    <x v="0"/>
    <s v="July"/>
    <d v="2022-07-23T00:00:00"/>
    <d v="2022-07-23T00:00:00"/>
    <n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B81D7-B424-45C1-9A37-35EC67898D0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G19" firstHeaderRow="0" firstDataRow="1" firstDataCol="3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2"/>
        <item x="5"/>
        <item x="4"/>
        <item x="3"/>
        <item x="0"/>
        <item t="default"/>
      </items>
    </pivotField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numFmtId="166" outline="0" showAll="0"/>
    <pivotField compact="0" numFmtId="166" outline="0" showAll="0"/>
    <pivotField dataField="1" compact="0" outline="0" showAll="0"/>
    <pivotField compact="0" outline="0" showAll="0"/>
  </pivotFields>
  <rowFields count="3">
    <field x="11"/>
    <field x="8"/>
    <field x="6"/>
  </rowFields>
  <rowItems count="16">
    <i>
      <x/>
      <x/>
      <x/>
    </i>
    <i r="2">
      <x v="1"/>
    </i>
    <i r="2">
      <x v="2"/>
    </i>
    <i r="2">
      <x v="3"/>
    </i>
    <i r="2">
      <x v="4"/>
    </i>
    <i r="2">
      <x v="5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t="default" r="1">
      <x v="1"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Jumlah Peserta" fld="8" subtotal="count" baseField="8" baseItem="0"/>
    <dataField name="Total Jam Training" fld="15" baseField="8" baseItem="0"/>
    <dataField name="Rata Rata Jam Training" fld="15" subtotal="average" baseField="8" baseItem="0" numFmtId="168"/>
    <dataField name="Presentase" fld="15" showDataAs="percentOfTotal" baseField="8" baseItem="0" numFmtId="10"/>
  </dataFields>
  <formats count="10">
    <format dxfId="10">
      <pivotArea outline="0" fieldPosition="0">
        <references count="1">
          <reference field="4294967294" count="1" selected="0">
            <x v="2"/>
          </reference>
        </references>
      </pivotArea>
    </format>
    <format dxfId="9">
      <pivotArea outline="0" fieldPosition="0">
        <references count="1">
          <reference field="4294967294" count="1">
            <x v="3"/>
          </reference>
        </references>
      </pivotArea>
    </format>
    <format dxfId="8">
      <pivotArea field="11" type="button" dataOnly="0" labelOnly="1" outline="0" axis="axisRow" fieldPosition="0"/>
    </format>
    <format dxfId="7">
      <pivotArea field="8" type="button" dataOnly="0" labelOnly="1" outline="0" axis="axisRow" fieldPosition="1"/>
    </format>
    <format dxfId="6">
      <pivotArea field="6" type="button" dataOnly="0" labelOnly="1" outline="0" axis="axisRow" fieldPosition="2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">
      <pivotArea field="11" type="button" dataOnly="0" labelOnly="1" outline="0" axis="axisRow" fieldPosition="0"/>
    </format>
    <format dxfId="3">
      <pivotArea field="8" type="button" dataOnly="0" labelOnly="1" outline="0" axis="axisRow" fieldPosition="1"/>
    </format>
    <format dxfId="2">
      <pivotArea field="6" type="button" dataOnly="0" labelOnly="1" outline="0" axis="axisRow" fieldPosition="2"/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showGridLines="0" workbookViewId="0"/>
  </sheetViews>
  <sheetFormatPr defaultColWidth="9.140625" defaultRowHeight="15" x14ac:dyDescent="0.25"/>
  <cols>
    <col min="1" max="1" width="2.28515625" style="29" customWidth="1"/>
    <col min="2" max="2" width="3" style="29" customWidth="1"/>
    <col min="3" max="16384" width="9.140625" style="29"/>
  </cols>
  <sheetData>
    <row r="2" spans="2:3" s="31" customFormat="1" ht="15.75" x14ac:dyDescent="0.25">
      <c r="B2" s="30" t="s">
        <v>0</v>
      </c>
    </row>
    <row r="3" spans="2:3" ht="3" customHeight="1" x14ac:dyDescent="0.25"/>
    <row r="4" spans="2:3" x14ac:dyDescent="0.25">
      <c r="C4" s="29" t="s">
        <v>1</v>
      </c>
    </row>
    <row r="5" spans="2:3" x14ac:dyDescent="0.25">
      <c r="C5" s="29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M15" sqref="M15"/>
    </sheetView>
  </sheetViews>
  <sheetFormatPr defaultColWidth="8.85546875" defaultRowHeight="15" x14ac:dyDescent="0.25"/>
  <cols>
    <col min="1" max="1" width="26" customWidth="1"/>
    <col min="2" max="2" width="3.85546875" customWidth="1"/>
    <col min="3" max="5" width="15" customWidth="1"/>
    <col min="6" max="6" width="11.7109375" customWidth="1"/>
    <col min="7" max="7" width="15.42578125" customWidth="1"/>
    <col min="8" max="8" width="10.7109375" bestFit="1" customWidth="1"/>
  </cols>
  <sheetData>
    <row r="1" spans="1:12" ht="18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K1" s="69" t="s">
        <v>12</v>
      </c>
      <c r="L1" s="69"/>
    </row>
    <row r="2" spans="1:12" x14ac:dyDescent="0.25">
      <c r="A2" s="3" t="s">
        <v>13</v>
      </c>
      <c r="B2" s="4" t="s">
        <v>14</v>
      </c>
      <c r="C2" s="5">
        <v>20000000</v>
      </c>
      <c r="D2" s="5">
        <v>7000000</v>
      </c>
      <c r="E2" s="5">
        <v>22500000</v>
      </c>
      <c r="F2" s="21">
        <f>SUM(C2:E2)</f>
        <v>49500000</v>
      </c>
      <c r="G2" s="21">
        <f>AVERAGE(C2:E2)</f>
        <v>16500000</v>
      </c>
      <c r="H2" s="22" t="str">
        <f>IF(G2&gt;15000000,"Lulus","Tidak Lulus")</f>
        <v>Lulus</v>
      </c>
      <c r="I2" s="22">
        <f>RANK(G2,$G$2:$G$6,0)</f>
        <v>3</v>
      </c>
      <c r="K2" s="70">
        <f>F7+G7+H7+I7+D12+D13+D14+D15+D16+D17</f>
        <v>0</v>
      </c>
      <c r="L2" s="70"/>
    </row>
    <row r="3" spans="1:12" x14ac:dyDescent="0.25">
      <c r="A3" s="3" t="s">
        <v>15</v>
      </c>
      <c r="B3" s="4" t="s">
        <v>14</v>
      </c>
      <c r="C3" s="5">
        <v>24000000</v>
      </c>
      <c r="D3" s="5">
        <v>18000000</v>
      </c>
      <c r="E3" s="5">
        <v>24000000</v>
      </c>
      <c r="F3" s="21">
        <f t="shared" ref="F3:F6" si="0">SUM(C3:E3)</f>
        <v>66000000</v>
      </c>
      <c r="G3" s="21">
        <f t="shared" ref="G3:G6" si="1">AVERAGE(C3:E3)</f>
        <v>22000000</v>
      </c>
      <c r="H3" s="22" t="str">
        <f t="shared" ref="H3:H6" si="2">IF(G3&gt;15000000,"Lulus","Tidak Lulus")</f>
        <v>Lulus</v>
      </c>
      <c r="I3" s="22">
        <f t="shared" ref="I3:I6" si="3">RANK(G3,$G$2:$G$6,0)</f>
        <v>1</v>
      </c>
      <c r="K3" s="70"/>
      <c r="L3" s="70"/>
    </row>
    <row r="4" spans="1:12" x14ac:dyDescent="0.25">
      <c r="A4" s="3" t="s">
        <v>16</v>
      </c>
      <c r="B4" s="4" t="s">
        <v>17</v>
      </c>
      <c r="C4" s="5">
        <v>10000000</v>
      </c>
      <c r="D4" s="5">
        <v>20000000</v>
      </c>
      <c r="E4" s="5">
        <v>8000000</v>
      </c>
      <c r="F4" s="21">
        <f t="shared" si="0"/>
        <v>38000000</v>
      </c>
      <c r="G4" s="21">
        <f t="shared" si="1"/>
        <v>12666666.666666666</v>
      </c>
      <c r="H4" s="22" t="str">
        <f t="shared" si="2"/>
        <v>Tidak Lulus</v>
      </c>
      <c r="I4" s="22">
        <f t="shared" si="3"/>
        <v>5</v>
      </c>
      <c r="K4" s="70"/>
      <c r="L4" s="70"/>
    </row>
    <row r="5" spans="1:12" x14ac:dyDescent="0.25">
      <c r="A5" s="3" t="s">
        <v>18</v>
      </c>
      <c r="B5" s="4" t="s">
        <v>17</v>
      </c>
      <c r="C5" s="5">
        <v>15000000</v>
      </c>
      <c r="D5" s="5">
        <v>24000000</v>
      </c>
      <c r="E5" s="5">
        <v>9500000</v>
      </c>
      <c r="F5" s="21">
        <f t="shared" si="0"/>
        <v>48500000</v>
      </c>
      <c r="G5" s="21">
        <f t="shared" si="1"/>
        <v>16166666.666666666</v>
      </c>
      <c r="H5" s="22" t="str">
        <f t="shared" si="2"/>
        <v>Lulus</v>
      </c>
      <c r="I5" s="22">
        <f t="shared" si="3"/>
        <v>4</v>
      </c>
      <c r="K5" s="2"/>
    </row>
    <row r="6" spans="1:12" x14ac:dyDescent="0.25">
      <c r="A6" s="3" t="s">
        <v>19</v>
      </c>
      <c r="B6" s="4" t="s">
        <v>14</v>
      </c>
      <c r="C6" s="5">
        <v>22000000</v>
      </c>
      <c r="D6" s="5">
        <v>26500000</v>
      </c>
      <c r="E6" s="5">
        <v>15000000</v>
      </c>
      <c r="F6" s="21">
        <f t="shared" si="0"/>
        <v>63500000</v>
      </c>
      <c r="G6" s="21">
        <f t="shared" si="1"/>
        <v>21166666.666666668</v>
      </c>
      <c r="H6" s="22" t="str">
        <f t="shared" si="2"/>
        <v>Lulus</v>
      </c>
      <c r="I6" s="22">
        <f t="shared" si="3"/>
        <v>2</v>
      </c>
      <c r="K6" s="2"/>
    </row>
    <row r="8" spans="1:12" x14ac:dyDescent="0.25">
      <c r="A8" s="2" t="s">
        <v>20</v>
      </c>
    </row>
    <row r="9" spans="1:12" x14ac:dyDescent="0.25">
      <c r="A9" t="s">
        <v>21</v>
      </c>
      <c r="C9" t="s">
        <v>22</v>
      </c>
    </row>
    <row r="10" spans="1:12" x14ac:dyDescent="0.25">
      <c r="A10" t="s">
        <v>23</v>
      </c>
      <c r="C10" t="s">
        <v>24</v>
      </c>
    </row>
    <row r="12" spans="1:12" x14ac:dyDescent="0.25">
      <c r="A12" t="s">
        <v>25</v>
      </c>
      <c r="B12" s="6"/>
      <c r="C12" s="22">
        <f>COUNTA(B2:B6)</f>
        <v>5</v>
      </c>
      <c r="K12" s="2"/>
    </row>
    <row r="13" spans="1:12" x14ac:dyDescent="0.25">
      <c r="A13" t="s">
        <v>26</v>
      </c>
      <c r="B13" s="6"/>
      <c r="C13" s="23">
        <f>MAX(F2:F6)</f>
        <v>66000000</v>
      </c>
    </row>
    <row r="14" spans="1:12" x14ac:dyDescent="0.25">
      <c r="A14" t="s">
        <v>27</v>
      </c>
      <c r="B14" s="6"/>
      <c r="C14" s="23">
        <f>MIN(F2:F6)</f>
        <v>38000000</v>
      </c>
      <c r="F14" s="2"/>
    </row>
    <row r="15" spans="1:12" x14ac:dyDescent="0.25">
      <c r="A15" t="s">
        <v>28</v>
      </c>
      <c r="B15" s="6"/>
      <c r="C15" s="21">
        <f ca="1">SUMIF(B2:G6,"L",G2:G6)</f>
        <v>59666666.666666672</v>
      </c>
    </row>
    <row r="16" spans="1:12" x14ac:dyDescent="0.25">
      <c r="A16" t="s">
        <v>29</v>
      </c>
      <c r="B16" s="6"/>
      <c r="C16" s="21">
        <f ca="1">SUMIF(B2:G6,"P",G2:G6)</f>
        <v>28833333.333333332</v>
      </c>
    </row>
    <row r="17" spans="1:3" x14ac:dyDescent="0.25">
      <c r="A17" t="s">
        <v>30</v>
      </c>
      <c r="B17" s="6"/>
      <c r="C17" s="22">
        <f>COUNTIF(H2:H6,"lulus")</f>
        <v>4</v>
      </c>
    </row>
  </sheetData>
  <mergeCells count="2">
    <mergeCell ref="K1:L1"/>
    <mergeCell ref="K2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2" sqref="E12"/>
    </sheetView>
  </sheetViews>
  <sheetFormatPr defaultColWidth="8.85546875" defaultRowHeight="15" x14ac:dyDescent="0.25"/>
  <cols>
    <col min="1" max="2" width="42.140625" customWidth="1"/>
  </cols>
  <sheetData>
    <row r="1" spans="1:5" x14ac:dyDescent="0.25">
      <c r="A1" s="7" t="s">
        <v>31</v>
      </c>
      <c r="B1" s="8" t="s">
        <v>32</v>
      </c>
      <c r="D1" s="71" t="s">
        <v>12</v>
      </c>
      <c r="E1" s="72"/>
    </row>
    <row r="2" spans="1:5" x14ac:dyDescent="0.25">
      <c r="A2" s="7" t="s">
        <v>33</v>
      </c>
      <c r="B2" s="22" t="str">
        <f>TRIM(B1)</f>
        <v>SasA SaNtaN, SANtan TerINDAH</v>
      </c>
      <c r="D2" s="73">
        <f>SUM(C2:C7)</f>
        <v>0</v>
      </c>
      <c r="E2" s="74"/>
    </row>
    <row r="3" spans="1:5" ht="20.100000000000001" customHeight="1" x14ac:dyDescent="0.25">
      <c r="A3" s="7" t="s">
        <v>34</v>
      </c>
      <c r="B3" s="22" t="str">
        <f>LOWER(B1)</f>
        <v xml:space="preserve">sasa   santan,      santan terindah     </v>
      </c>
      <c r="D3" s="75"/>
      <c r="E3" s="76"/>
    </row>
    <row r="4" spans="1:5" ht="20.100000000000001" customHeight="1" x14ac:dyDescent="0.25">
      <c r="A4" s="7" t="s">
        <v>35</v>
      </c>
      <c r="B4" s="22" t="str">
        <f>UPPER(B1)</f>
        <v xml:space="preserve">SASA   SANTAN,      SANTAN TERINDAH     </v>
      </c>
      <c r="D4" s="77"/>
      <c r="E4" s="78"/>
    </row>
    <row r="5" spans="1:5" ht="20.100000000000001" customHeight="1" x14ac:dyDescent="0.25">
      <c r="A5" s="7" t="s">
        <v>36</v>
      </c>
      <c r="B5" s="22" t="str">
        <f>PROPER(B1)</f>
        <v xml:space="preserve">Sasa   Santan,      Santan Terindah     </v>
      </c>
    </row>
    <row r="6" spans="1:5" x14ac:dyDescent="0.25">
      <c r="A6" s="7" t="s">
        <v>37</v>
      </c>
      <c r="B6" s="22" t="str">
        <f>TRIM(PROPER(B1))</f>
        <v>Sasa Santan, Santan Terindah</v>
      </c>
    </row>
    <row r="7" spans="1:5" x14ac:dyDescent="0.25">
      <c r="A7" s="7" t="s">
        <v>38</v>
      </c>
      <c r="B7" s="22" t="str">
        <f>REPLACE(LOWER(B1),1,1,UPPER(LEFT(B1,1)))</f>
        <v xml:space="preserve">Sasa   santan,      santan terindah     </v>
      </c>
    </row>
  </sheetData>
  <mergeCells count="2">
    <mergeCell ref="D1:E1"/>
    <mergeCell ref="D2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F11" sqref="F11"/>
    </sheetView>
  </sheetViews>
  <sheetFormatPr defaultColWidth="8.85546875" defaultRowHeight="15" x14ac:dyDescent="0.25"/>
  <cols>
    <col min="1" max="1" width="9.28515625" customWidth="1"/>
    <col min="2" max="3" width="22.140625" customWidth="1"/>
    <col min="4" max="4" width="11.140625" customWidth="1"/>
    <col min="5" max="5" width="18.42578125" bestFit="1" customWidth="1"/>
    <col min="6" max="7" width="18" customWidth="1"/>
  </cols>
  <sheetData>
    <row r="1" spans="1:10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I1" s="79" t="s">
        <v>12</v>
      </c>
      <c r="J1" s="79"/>
    </row>
    <row r="2" spans="1:10" x14ac:dyDescent="0.25">
      <c r="A2" s="3" t="s">
        <v>46</v>
      </c>
      <c r="B2" s="3" t="s">
        <v>47</v>
      </c>
      <c r="C2" s="3" t="s">
        <v>48</v>
      </c>
      <c r="D2" s="3">
        <v>1990</v>
      </c>
      <c r="E2" s="22" t="str">
        <f>_xlfn.CONCAT(A2,"-",B2,"-",D2)</f>
        <v>HR-Putri-1990</v>
      </c>
      <c r="F2" s="22">
        <f>LEN(B2)</f>
        <v>5</v>
      </c>
      <c r="G2" s="22" t="str">
        <f>LEFT(C2,3)</f>
        <v>123</v>
      </c>
      <c r="I2" s="70">
        <f>SUM(E6:G6)</f>
        <v>0</v>
      </c>
      <c r="J2" s="70"/>
    </row>
    <row r="3" spans="1:10" x14ac:dyDescent="0.25">
      <c r="A3" s="3" t="s">
        <v>49</v>
      </c>
      <c r="B3" s="3" t="s">
        <v>50</v>
      </c>
      <c r="C3" s="3" t="s">
        <v>51</v>
      </c>
      <c r="D3" s="3">
        <v>1994</v>
      </c>
      <c r="E3" s="22" t="str">
        <f t="shared" ref="E3:E5" si="0">_xlfn.CONCAT(A3,"-",B3,"-",D3)</f>
        <v>Finance-Zahra-1994</v>
      </c>
      <c r="F3" s="22">
        <f t="shared" ref="F3:F5" si="1">LEN(B3)</f>
        <v>5</v>
      </c>
      <c r="G3" s="22" t="str">
        <f t="shared" ref="G3:G5" si="2">LEFT(C3,3)</f>
        <v>288</v>
      </c>
      <c r="I3" s="70"/>
      <c r="J3" s="70"/>
    </row>
    <row r="4" spans="1:10" x14ac:dyDescent="0.25">
      <c r="A4" s="3" t="s">
        <v>52</v>
      </c>
      <c r="B4" s="3" t="s">
        <v>53</v>
      </c>
      <c r="C4" s="3" t="s">
        <v>54</v>
      </c>
      <c r="D4" s="3">
        <v>1989</v>
      </c>
      <c r="E4" s="22" t="str">
        <f t="shared" si="0"/>
        <v>Sales-Suci-1989</v>
      </c>
      <c r="F4" s="22">
        <f t="shared" si="1"/>
        <v>4</v>
      </c>
      <c r="G4" s="22" t="str">
        <f t="shared" si="2"/>
        <v>139</v>
      </c>
      <c r="I4" s="70"/>
      <c r="J4" s="70"/>
    </row>
    <row r="5" spans="1:10" x14ac:dyDescent="0.25">
      <c r="A5" s="3" t="s">
        <v>46</v>
      </c>
      <c r="B5" s="3" t="s">
        <v>55</v>
      </c>
      <c r="C5" s="3" t="s">
        <v>56</v>
      </c>
      <c r="D5" s="3">
        <v>1997</v>
      </c>
      <c r="E5" s="22" t="str">
        <f t="shared" si="0"/>
        <v>HR-Lulu-1997</v>
      </c>
      <c r="F5" s="22">
        <f t="shared" si="1"/>
        <v>4</v>
      </c>
      <c r="G5" s="22" t="str">
        <f t="shared" si="2"/>
        <v>456</v>
      </c>
    </row>
    <row r="7" spans="1:10" x14ac:dyDescent="0.25">
      <c r="A7" s="33" t="s">
        <v>57</v>
      </c>
    </row>
    <row r="8" spans="1:10" x14ac:dyDescent="0.25">
      <c r="A8" t="s">
        <v>58</v>
      </c>
    </row>
    <row r="9" spans="1:10" x14ac:dyDescent="0.25">
      <c r="A9" t="s">
        <v>59</v>
      </c>
    </row>
    <row r="10" spans="1:10" x14ac:dyDescent="0.25">
      <c r="A10" t="s">
        <v>60</v>
      </c>
    </row>
  </sheetData>
  <mergeCells count="2">
    <mergeCell ref="I1:J1"/>
    <mergeCell ref="I2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"/>
  <sheetViews>
    <sheetView topLeftCell="D3" zoomScale="83" workbookViewId="0">
      <selection activeCell="L27" sqref="L27"/>
    </sheetView>
  </sheetViews>
  <sheetFormatPr defaultColWidth="8.85546875" defaultRowHeight="15" x14ac:dyDescent="0.25"/>
  <cols>
    <col min="1" max="1" width="5.42578125" customWidth="1"/>
    <col min="2" max="2" width="7.7109375" customWidth="1"/>
    <col min="3" max="3" width="15.28515625" customWidth="1"/>
    <col min="4" max="4" width="32.7109375" bestFit="1" customWidth="1"/>
    <col min="5" max="5" width="12.28515625" customWidth="1"/>
    <col min="6" max="6" width="24.28515625" bestFit="1" customWidth="1"/>
    <col min="7" max="7" width="7.28515625" customWidth="1"/>
    <col min="8" max="8" width="13.85546875" bestFit="1" customWidth="1"/>
    <col min="9" max="9" width="16.140625" bestFit="1" customWidth="1"/>
    <col min="10" max="10" width="15.42578125" customWidth="1"/>
    <col min="11" max="11" width="17.28515625" bestFit="1" customWidth="1"/>
    <col min="13" max="13" width="11.42578125" customWidth="1"/>
    <col min="14" max="14" width="31.85546875" customWidth="1"/>
    <col min="15" max="15" width="15.140625" customWidth="1"/>
  </cols>
  <sheetData>
    <row r="1" spans="1:15" ht="26.1" customHeight="1" x14ac:dyDescent="0.25">
      <c r="A1" s="80" t="s">
        <v>61</v>
      </c>
      <c r="B1" s="81"/>
      <c r="C1" s="81"/>
      <c r="D1" s="81"/>
      <c r="E1" s="81"/>
      <c r="F1" s="81"/>
      <c r="G1" s="81"/>
      <c r="H1" s="81"/>
      <c r="I1" s="81"/>
      <c r="J1" s="81"/>
      <c r="K1" s="82"/>
      <c r="M1" s="9"/>
    </row>
    <row r="2" spans="1:15" ht="21" customHeight="1" x14ac:dyDescent="0.25">
      <c r="A2" s="83"/>
      <c r="B2" s="84"/>
      <c r="C2" s="84"/>
      <c r="D2" s="84"/>
      <c r="E2" s="84"/>
      <c r="F2" s="84"/>
      <c r="G2" s="84"/>
      <c r="H2" s="84"/>
      <c r="I2" s="84"/>
      <c r="J2" s="84"/>
      <c r="K2" s="85"/>
      <c r="M2" s="10"/>
    </row>
    <row r="4" spans="1:15" s="6" customFormat="1" x14ac:dyDescent="0.25">
      <c r="A4" s="11" t="s">
        <v>62</v>
      </c>
      <c r="B4" s="11" t="s">
        <v>63</v>
      </c>
      <c r="C4" s="11" t="s">
        <v>64</v>
      </c>
      <c r="D4" s="11" t="s">
        <v>65</v>
      </c>
      <c r="E4" s="11" t="s">
        <v>66</v>
      </c>
      <c r="F4" s="11" t="s">
        <v>67</v>
      </c>
      <c r="G4" s="11" t="s">
        <v>68</v>
      </c>
      <c r="H4" s="11" t="s">
        <v>69</v>
      </c>
      <c r="I4" s="11" t="s">
        <v>70</v>
      </c>
      <c r="J4" s="34" t="s">
        <v>71</v>
      </c>
      <c r="K4" s="11" t="s">
        <v>72</v>
      </c>
      <c r="M4" s="86" t="s">
        <v>64</v>
      </c>
      <c r="N4" s="86"/>
    </row>
    <row r="5" spans="1:15" x14ac:dyDescent="0.25">
      <c r="A5" s="4">
        <v>1</v>
      </c>
      <c r="B5" s="12">
        <v>43313</v>
      </c>
      <c r="C5" s="4" t="s">
        <v>73</v>
      </c>
      <c r="D5" s="24" t="str">
        <f>VLOOKUP(C5,$M$6:$N$8,2,0)</f>
        <v>PT. Graha Informatika Nusantara</v>
      </c>
      <c r="E5" s="4" t="s">
        <v>74</v>
      </c>
      <c r="F5" s="24" t="str">
        <f>VLOOKUP(E5,$M$12:$O$15,2,0)</f>
        <v>HR Management System</v>
      </c>
      <c r="G5" s="4">
        <v>340</v>
      </c>
      <c r="H5" s="46">
        <f>VLOOKUP(E5,$M$12:$O$15,3,0)</f>
        <v>800000</v>
      </c>
      <c r="I5" s="25">
        <f>G5*H5</f>
        <v>272000000</v>
      </c>
      <c r="J5" s="35" t="str">
        <f>IF(G5&gt;500,"20%",IF(G5&gt;200,"10%","0"))</f>
        <v>10%</v>
      </c>
      <c r="K5" s="25">
        <f>I5*J5</f>
        <v>27200000</v>
      </c>
      <c r="M5" s="14" t="s">
        <v>75</v>
      </c>
      <c r="N5" s="14" t="s">
        <v>76</v>
      </c>
    </row>
    <row r="6" spans="1:15" x14ac:dyDescent="0.25">
      <c r="A6" s="4">
        <v>2</v>
      </c>
      <c r="B6" s="12">
        <v>43313</v>
      </c>
      <c r="C6" s="4" t="s">
        <v>77</v>
      </c>
      <c r="D6" s="24" t="str">
        <f t="shared" ref="D6:D19" si="0">VLOOKUP(C6,$M$6:$N$8,2,0)</f>
        <v>PT. Catur Mitra Sejati Sentosa</v>
      </c>
      <c r="E6" s="4" t="s">
        <v>78</v>
      </c>
      <c r="F6" s="24" t="str">
        <f t="shared" ref="F6:F19" si="1">VLOOKUP(E6,$M$12:$O$15,2,0)</f>
        <v>Payroll Software</v>
      </c>
      <c r="G6" s="4">
        <v>140</v>
      </c>
      <c r="H6" s="46">
        <f t="shared" ref="H6:H19" si="2">VLOOKUP(E6,$M$12:$O$15,3,0)</f>
        <v>600000</v>
      </c>
      <c r="I6" s="25">
        <f t="shared" ref="I6:I19" si="3">G6*H6</f>
        <v>84000000</v>
      </c>
      <c r="J6" s="35" t="str">
        <f t="shared" ref="J6:J19" si="4">IF(G6&gt;500,"20%",IF(G6&gt;200,"10%","0"))</f>
        <v>0</v>
      </c>
      <c r="K6" s="25">
        <f t="shared" ref="K6:K19" si="5">I6*J6</f>
        <v>0</v>
      </c>
      <c r="M6" s="4" t="s">
        <v>77</v>
      </c>
      <c r="N6" s="4" t="s">
        <v>79</v>
      </c>
    </row>
    <row r="7" spans="1:15" x14ac:dyDescent="0.25">
      <c r="A7" s="4">
        <v>3</v>
      </c>
      <c r="B7" s="12">
        <v>43313</v>
      </c>
      <c r="C7" s="4" t="s">
        <v>77</v>
      </c>
      <c r="D7" s="24" t="str">
        <f t="shared" si="0"/>
        <v>PT. Catur Mitra Sejati Sentosa</v>
      </c>
      <c r="E7" s="4" t="s">
        <v>80</v>
      </c>
      <c r="F7" s="24" t="str">
        <f t="shared" si="1"/>
        <v>Cloud Storage 1 TB</v>
      </c>
      <c r="G7" s="4">
        <v>560</v>
      </c>
      <c r="H7" s="46">
        <f t="shared" si="2"/>
        <v>500000</v>
      </c>
      <c r="I7" s="25">
        <f t="shared" si="3"/>
        <v>280000000</v>
      </c>
      <c r="J7" s="35" t="str">
        <f t="shared" si="4"/>
        <v>20%</v>
      </c>
      <c r="K7" s="25">
        <f t="shared" si="5"/>
        <v>56000000</v>
      </c>
      <c r="M7" s="4" t="s">
        <v>73</v>
      </c>
      <c r="N7" s="4" t="s">
        <v>81</v>
      </c>
    </row>
    <row r="8" spans="1:15" x14ac:dyDescent="0.25">
      <c r="A8" s="4">
        <v>4</v>
      </c>
      <c r="B8" s="12">
        <v>43314</v>
      </c>
      <c r="C8" s="4" t="s">
        <v>73</v>
      </c>
      <c r="D8" s="24" t="str">
        <f t="shared" si="0"/>
        <v>PT. Graha Informatika Nusantara</v>
      </c>
      <c r="E8" s="4" t="s">
        <v>82</v>
      </c>
      <c r="F8" s="24" t="str">
        <f t="shared" si="1"/>
        <v>CRM Tools</v>
      </c>
      <c r="G8" s="4">
        <v>230</v>
      </c>
      <c r="H8" s="46">
        <f t="shared" si="2"/>
        <v>700000</v>
      </c>
      <c r="I8" s="25">
        <f t="shared" si="3"/>
        <v>161000000</v>
      </c>
      <c r="J8" s="35" t="str">
        <f t="shared" si="4"/>
        <v>10%</v>
      </c>
      <c r="K8" s="25">
        <f t="shared" si="5"/>
        <v>16100000</v>
      </c>
      <c r="M8" s="4" t="s">
        <v>83</v>
      </c>
      <c r="N8" s="4" t="s">
        <v>84</v>
      </c>
    </row>
    <row r="9" spans="1:15" x14ac:dyDescent="0.25">
      <c r="A9" s="4">
        <v>5</v>
      </c>
      <c r="B9" s="12">
        <v>43314</v>
      </c>
      <c r="C9" s="4" t="s">
        <v>73</v>
      </c>
      <c r="D9" s="24" t="str">
        <f t="shared" si="0"/>
        <v>PT. Graha Informatika Nusantara</v>
      </c>
      <c r="E9" s="4" t="s">
        <v>78</v>
      </c>
      <c r="F9" s="24" t="str">
        <f t="shared" si="1"/>
        <v>Payroll Software</v>
      </c>
      <c r="G9" s="4">
        <v>770</v>
      </c>
      <c r="H9" s="46">
        <f t="shared" si="2"/>
        <v>600000</v>
      </c>
      <c r="I9" s="25">
        <f t="shared" si="3"/>
        <v>462000000</v>
      </c>
      <c r="J9" s="35" t="str">
        <f t="shared" si="4"/>
        <v>20%</v>
      </c>
      <c r="K9" s="25">
        <f t="shared" si="5"/>
        <v>92400000</v>
      </c>
    </row>
    <row r="10" spans="1:15" x14ac:dyDescent="0.25">
      <c r="A10" s="4">
        <v>6</v>
      </c>
      <c r="B10" s="12">
        <v>43314</v>
      </c>
      <c r="C10" s="4" t="s">
        <v>83</v>
      </c>
      <c r="D10" s="24" t="str">
        <f t="shared" si="0"/>
        <v>PT. Payfazz Teknologi Nusantara</v>
      </c>
      <c r="E10" s="4" t="s">
        <v>82</v>
      </c>
      <c r="F10" s="24" t="str">
        <f t="shared" si="1"/>
        <v>CRM Tools</v>
      </c>
      <c r="G10" s="4">
        <v>780</v>
      </c>
      <c r="H10" s="46">
        <f t="shared" si="2"/>
        <v>700000</v>
      </c>
      <c r="I10" s="25">
        <f t="shared" si="3"/>
        <v>546000000</v>
      </c>
      <c r="J10" s="35" t="str">
        <f t="shared" si="4"/>
        <v>20%</v>
      </c>
      <c r="K10" s="25">
        <f t="shared" si="5"/>
        <v>109200000</v>
      </c>
      <c r="M10" s="86" t="s">
        <v>66</v>
      </c>
      <c r="N10" s="86"/>
      <c r="O10" s="86"/>
    </row>
    <row r="11" spans="1:15" x14ac:dyDescent="0.25">
      <c r="A11" s="4">
        <v>7</v>
      </c>
      <c r="B11" s="12">
        <v>43314</v>
      </c>
      <c r="C11" s="4" t="s">
        <v>83</v>
      </c>
      <c r="D11" s="24" t="str">
        <f t="shared" si="0"/>
        <v>PT. Payfazz Teknologi Nusantara</v>
      </c>
      <c r="E11" s="4" t="s">
        <v>82</v>
      </c>
      <c r="F11" s="24" t="str">
        <f t="shared" si="1"/>
        <v>CRM Tools</v>
      </c>
      <c r="G11" s="4">
        <v>300</v>
      </c>
      <c r="H11" s="46">
        <f t="shared" si="2"/>
        <v>700000</v>
      </c>
      <c r="I11" s="25">
        <f t="shared" si="3"/>
        <v>210000000</v>
      </c>
      <c r="J11" s="35" t="str">
        <f t="shared" si="4"/>
        <v>10%</v>
      </c>
      <c r="K11" s="25">
        <f t="shared" si="5"/>
        <v>21000000</v>
      </c>
      <c r="M11" s="14" t="s">
        <v>75</v>
      </c>
      <c r="N11" s="14" t="s">
        <v>76</v>
      </c>
      <c r="O11" s="14" t="s">
        <v>69</v>
      </c>
    </row>
    <row r="12" spans="1:15" x14ac:dyDescent="0.25">
      <c r="A12" s="4">
        <v>8</v>
      </c>
      <c r="B12" s="12">
        <v>43314</v>
      </c>
      <c r="C12" s="4" t="s">
        <v>83</v>
      </c>
      <c r="D12" s="24" t="str">
        <f t="shared" si="0"/>
        <v>PT. Payfazz Teknologi Nusantara</v>
      </c>
      <c r="E12" s="4" t="s">
        <v>78</v>
      </c>
      <c r="F12" s="24" t="str">
        <f t="shared" si="1"/>
        <v>Payroll Software</v>
      </c>
      <c r="G12" s="4">
        <v>790</v>
      </c>
      <c r="H12" s="46">
        <f t="shared" si="2"/>
        <v>600000</v>
      </c>
      <c r="I12" s="25">
        <f t="shared" si="3"/>
        <v>474000000</v>
      </c>
      <c r="J12" s="35" t="str">
        <f t="shared" si="4"/>
        <v>20%</v>
      </c>
      <c r="K12" s="25">
        <f t="shared" si="5"/>
        <v>94800000</v>
      </c>
      <c r="M12" s="4" t="s">
        <v>74</v>
      </c>
      <c r="N12" s="4" t="s">
        <v>85</v>
      </c>
      <c r="O12" s="13">
        <v>800000</v>
      </c>
    </row>
    <row r="13" spans="1:15" x14ac:dyDescent="0.25">
      <c r="A13" s="4">
        <v>9</v>
      </c>
      <c r="B13" s="12">
        <v>43314</v>
      </c>
      <c r="C13" s="4" t="s">
        <v>77</v>
      </c>
      <c r="D13" s="24" t="str">
        <f t="shared" si="0"/>
        <v>PT. Catur Mitra Sejati Sentosa</v>
      </c>
      <c r="E13" s="4" t="s">
        <v>74</v>
      </c>
      <c r="F13" s="24" t="str">
        <f t="shared" si="1"/>
        <v>HR Management System</v>
      </c>
      <c r="G13" s="4">
        <v>440</v>
      </c>
      <c r="H13" s="46">
        <f t="shared" si="2"/>
        <v>800000</v>
      </c>
      <c r="I13" s="25">
        <f t="shared" si="3"/>
        <v>352000000</v>
      </c>
      <c r="J13" s="35" t="str">
        <f t="shared" si="4"/>
        <v>10%</v>
      </c>
      <c r="K13" s="25">
        <f t="shared" si="5"/>
        <v>35200000</v>
      </c>
      <c r="M13" s="4" t="s">
        <v>78</v>
      </c>
      <c r="N13" s="4" t="s">
        <v>86</v>
      </c>
      <c r="O13" s="13">
        <v>600000</v>
      </c>
    </row>
    <row r="14" spans="1:15" x14ac:dyDescent="0.25">
      <c r="A14" s="4">
        <v>10</v>
      </c>
      <c r="B14" s="12">
        <v>43314</v>
      </c>
      <c r="C14" s="4" t="s">
        <v>73</v>
      </c>
      <c r="D14" s="24" t="str">
        <f t="shared" si="0"/>
        <v>PT. Graha Informatika Nusantara</v>
      </c>
      <c r="E14" s="4" t="s">
        <v>82</v>
      </c>
      <c r="F14" s="24" t="str">
        <f t="shared" si="1"/>
        <v>CRM Tools</v>
      </c>
      <c r="G14" s="4">
        <v>130</v>
      </c>
      <c r="H14" s="46">
        <f t="shared" si="2"/>
        <v>700000</v>
      </c>
      <c r="I14" s="25">
        <f t="shared" si="3"/>
        <v>91000000</v>
      </c>
      <c r="J14" s="35" t="str">
        <f t="shared" si="4"/>
        <v>0</v>
      </c>
      <c r="K14" s="25">
        <f t="shared" si="5"/>
        <v>0</v>
      </c>
      <c r="M14" s="4" t="s">
        <v>80</v>
      </c>
      <c r="N14" s="4" t="s">
        <v>87</v>
      </c>
      <c r="O14" s="13">
        <v>500000</v>
      </c>
    </row>
    <row r="15" spans="1:15" x14ac:dyDescent="0.25">
      <c r="A15" s="4">
        <v>11</v>
      </c>
      <c r="B15" s="12">
        <v>43315</v>
      </c>
      <c r="C15" s="4" t="s">
        <v>73</v>
      </c>
      <c r="D15" s="24" t="str">
        <f t="shared" si="0"/>
        <v>PT. Graha Informatika Nusantara</v>
      </c>
      <c r="E15" s="4" t="s">
        <v>78</v>
      </c>
      <c r="F15" s="24" t="str">
        <f t="shared" si="1"/>
        <v>Payroll Software</v>
      </c>
      <c r="G15" s="4">
        <v>360</v>
      </c>
      <c r="H15" s="46">
        <f t="shared" si="2"/>
        <v>600000</v>
      </c>
      <c r="I15" s="25">
        <f t="shared" si="3"/>
        <v>216000000</v>
      </c>
      <c r="J15" s="35" t="str">
        <f t="shared" si="4"/>
        <v>10%</v>
      </c>
      <c r="K15" s="25">
        <f t="shared" si="5"/>
        <v>21600000</v>
      </c>
      <c r="M15" s="4" t="s">
        <v>82</v>
      </c>
      <c r="N15" s="4" t="s">
        <v>88</v>
      </c>
      <c r="O15" s="13">
        <v>700000</v>
      </c>
    </row>
    <row r="16" spans="1:15" x14ac:dyDescent="0.25">
      <c r="A16" s="4">
        <v>12</v>
      </c>
      <c r="B16" s="12">
        <v>43315</v>
      </c>
      <c r="C16" s="4" t="s">
        <v>83</v>
      </c>
      <c r="D16" s="24" t="str">
        <f t="shared" si="0"/>
        <v>PT. Payfazz Teknologi Nusantara</v>
      </c>
      <c r="E16" s="4" t="s">
        <v>78</v>
      </c>
      <c r="F16" s="24" t="str">
        <f t="shared" si="1"/>
        <v>Payroll Software</v>
      </c>
      <c r="G16" s="4">
        <v>120</v>
      </c>
      <c r="H16" s="46">
        <f t="shared" si="2"/>
        <v>600000</v>
      </c>
      <c r="I16" s="25">
        <f t="shared" si="3"/>
        <v>72000000</v>
      </c>
      <c r="J16" s="35" t="str">
        <f t="shared" si="4"/>
        <v>0</v>
      </c>
      <c r="K16" s="25">
        <f t="shared" si="5"/>
        <v>0</v>
      </c>
    </row>
    <row r="17" spans="1:14" x14ac:dyDescent="0.25">
      <c r="A17" s="4">
        <v>13</v>
      </c>
      <c r="B17" s="12">
        <v>43315</v>
      </c>
      <c r="C17" s="4" t="s">
        <v>73</v>
      </c>
      <c r="D17" s="24" t="str">
        <f t="shared" si="0"/>
        <v>PT. Graha Informatika Nusantara</v>
      </c>
      <c r="E17" s="4" t="s">
        <v>80</v>
      </c>
      <c r="F17" s="24" t="str">
        <f t="shared" si="1"/>
        <v>Cloud Storage 1 TB</v>
      </c>
      <c r="G17" s="4">
        <v>120</v>
      </c>
      <c r="H17" s="46">
        <f t="shared" si="2"/>
        <v>500000</v>
      </c>
      <c r="I17" s="25">
        <f t="shared" si="3"/>
        <v>60000000</v>
      </c>
      <c r="J17" s="35" t="str">
        <f t="shared" si="4"/>
        <v>0</v>
      </c>
      <c r="K17" s="25">
        <f t="shared" si="5"/>
        <v>0</v>
      </c>
    </row>
    <row r="18" spans="1:14" x14ac:dyDescent="0.25">
      <c r="A18" s="4">
        <v>14</v>
      </c>
      <c r="B18" s="12">
        <v>43315</v>
      </c>
      <c r="C18" s="4" t="s">
        <v>83</v>
      </c>
      <c r="D18" s="24" t="str">
        <f t="shared" si="0"/>
        <v>PT. Payfazz Teknologi Nusantara</v>
      </c>
      <c r="E18" s="4" t="s">
        <v>82</v>
      </c>
      <c r="F18" s="24" t="str">
        <f t="shared" si="1"/>
        <v>CRM Tools</v>
      </c>
      <c r="G18" s="4">
        <v>720</v>
      </c>
      <c r="H18" s="46">
        <f t="shared" si="2"/>
        <v>700000</v>
      </c>
      <c r="I18" s="25">
        <f t="shared" si="3"/>
        <v>504000000</v>
      </c>
      <c r="J18" s="35" t="str">
        <f t="shared" si="4"/>
        <v>20%</v>
      </c>
      <c r="K18" s="25">
        <f t="shared" si="5"/>
        <v>100800000</v>
      </c>
      <c r="M18" s="79" t="s">
        <v>12</v>
      </c>
      <c r="N18" s="79"/>
    </row>
    <row r="19" spans="1:14" x14ac:dyDescent="0.25">
      <c r="A19" s="4">
        <v>15</v>
      </c>
      <c r="B19" s="12">
        <v>43315</v>
      </c>
      <c r="C19" s="4" t="s">
        <v>77</v>
      </c>
      <c r="D19" s="24" t="str">
        <f t="shared" si="0"/>
        <v>PT. Catur Mitra Sejati Sentosa</v>
      </c>
      <c r="E19" s="4" t="s">
        <v>82</v>
      </c>
      <c r="F19" s="24" t="str">
        <f t="shared" si="1"/>
        <v>CRM Tools</v>
      </c>
      <c r="G19" s="4">
        <v>250</v>
      </c>
      <c r="H19" s="46">
        <f t="shared" si="2"/>
        <v>700000</v>
      </c>
      <c r="I19" s="25">
        <f t="shared" si="3"/>
        <v>175000000</v>
      </c>
      <c r="J19" s="35" t="str">
        <f t="shared" si="4"/>
        <v>10%</v>
      </c>
      <c r="K19" s="25">
        <f t="shared" si="5"/>
        <v>17500000</v>
      </c>
      <c r="M19" s="70">
        <f>D3+F3+H3+I3+J3+K3+G22+G23+K22+K23</f>
        <v>0</v>
      </c>
      <c r="N19" s="70"/>
    </row>
    <row r="20" spans="1:14" x14ac:dyDescent="0.25">
      <c r="A20" s="87" t="s">
        <v>89</v>
      </c>
      <c r="B20" s="88"/>
      <c r="C20" s="88"/>
      <c r="D20" s="88"/>
      <c r="E20" s="88"/>
      <c r="F20" s="89"/>
      <c r="G20" s="26"/>
      <c r="H20" s="15"/>
      <c r="I20" s="15"/>
      <c r="J20" s="15"/>
      <c r="K20" s="27">
        <f>SUM(I5:I19)-SUM(K5:K19)</f>
        <v>3367200000</v>
      </c>
      <c r="M20" s="70"/>
      <c r="N20" s="70"/>
    </row>
    <row r="21" spans="1:14" x14ac:dyDescent="0.25">
      <c r="A21" s="79" t="s">
        <v>90</v>
      </c>
      <c r="B21" s="79"/>
      <c r="C21" s="79"/>
      <c r="D21" s="79"/>
      <c r="E21" s="79"/>
      <c r="F21" s="79"/>
      <c r="G21" s="26"/>
      <c r="H21" s="15"/>
      <c r="I21" s="15"/>
      <c r="J21" s="15"/>
      <c r="K21" s="28">
        <f>K20/3</f>
        <v>1122400000</v>
      </c>
      <c r="M21" s="70"/>
      <c r="N21" s="70"/>
    </row>
    <row r="23" spans="1:14" x14ac:dyDescent="0.25">
      <c r="A23" s="33" t="s">
        <v>57</v>
      </c>
    </row>
    <row r="24" spans="1:14" x14ac:dyDescent="0.25">
      <c r="A24">
        <v>1</v>
      </c>
      <c r="B24" t="s">
        <v>91</v>
      </c>
    </row>
    <row r="25" spans="1:14" x14ac:dyDescent="0.25">
      <c r="A25">
        <v>2</v>
      </c>
      <c r="B25" t="s">
        <v>92</v>
      </c>
    </row>
    <row r="26" spans="1:14" x14ac:dyDescent="0.25">
      <c r="A26">
        <v>3</v>
      </c>
      <c r="B26" t="s">
        <v>93</v>
      </c>
    </row>
    <row r="27" spans="1:14" x14ac:dyDescent="0.25">
      <c r="A27">
        <v>4</v>
      </c>
      <c r="B27" t="s">
        <v>94</v>
      </c>
    </row>
    <row r="28" spans="1:14" x14ac:dyDescent="0.25">
      <c r="A28">
        <v>5</v>
      </c>
      <c r="B28" t="s">
        <v>95</v>
      </c>
    </row>
  </sheetData>
  <mergeCells count="7">
    <mergeCell ref="A1:K2"/>
    <mergeCell ref="M4:N4"/>
    <mergeCell ref="M10:O10"/>
    <mergeCell ref="A20:F20"/>
    <mergeCell ref="A21:F21"/>
    <mergeCell ref="M18:N18"/>
    <mergeCell ref="M19:N21"/>
  </mergeCells>
  <pageMargins left="0.7" right="0.7" top="0.75" bottom="0.75" header="0.3" footer="0.3"/>
  <ignoredErrors>
    <ignoredError sqref="J5:J1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58"/>
  <sheetViews>
    <sheetView topLeftCell="E1" workbookViewId="0">
      <pane ySplit="1" topLeftCell="A201" activePane="bottomLeft" state="frozen"/>
      <selection pane="bottomLeft" activeCell="E222" sqref="E222"/>
    </sheetView>
  </sheetViews>
  <sheetFormatPr defaultColWidth="8.85546875" defaultRowHeight="15" x14ac:dyDescent="0.25"/>
  <cols>
    <col min="1" max="1" width="4" bestFit="1" customWidth="1"/>
    <col min="2" max="2" width="10.42578125" bestFit="1" customWidth="1"/>
    <col min="3" max="3" width="6" bestFit="1" customWidth="1"/>
    <col min="4" max="4" width="33.85546875" bestFit="1" customWidth="1"/>
    <col min="5" max="5" width="51.5703125" bestFit="1" customWidth="1"/>
    <col min="6" max="6" width="16.7109375" bestFit="1" customWidth="1"/>
    <col min="7" max="7" width="8" bestFit="1" customWidth="1"/>
    <col min="8" max="8" width="13.140625" bestFit="1" customWidth="1"/>
    <col min="9" max="9" width="10" bestFit="1" customWidth="1"/>
    <col min="10" max="10" width="8.140625" bestFit="1" customWidth="1"/>
    <col min="11" max="11" width="57.5703125" bestFit="1" customWidth="1"/>
    <col min="12" max="12" width="5" bestFit="1" customWidth="1"/>
    <col min="13" max="13" width="7" bestFit="1" customWidth="1"/>
    <col min="14" max="15" width="15.85546875" bestFit="1" customWidth="1"/>
    <col min="16" max="16" width="12" bestFit="1" customWidth="1"/>
    <col min="17" max="17" width="16.28515625" bestFit="1" customWidth="1"/>
  </cols>
  <sheetData>
    <row r="1" spans="1:17" x14ac:dyDescent="0.25">
      <c r="A1" s="47" t="s">
        <v>96</v>
      </c>
      <c r="B1" s="47" t="s">
        <v>97</v>
      </c>
      <c r="C1" s="47" t="s">
        <v>41</v>
      </c>
      <c r="D1" s="47" t="s">
        <v>98</v>
      </c>
      <c r="E1" s="47" t="s">
        <v>99</v>
      </c>
      <c r="F1" s="47" t="s">
        <v>100</v>
      </c>
      <c r="G1" s="47" t="s">
        <v>101</v>
      </c>
      <c r="H1" s="47" t="s">
        <v>102</v>
      </c>
      <c r="I1" s="48" t="s">
        <v>103</v>
      </c>
      <c r="J1" s="47" t="s">
        <v>104</v>
      </c>
      <c r="K1" s="3" t="s">
        <v>105</v>
      </c>
      <c r="L1" s="47" t="s">
        <v>106</v>
      </c>
      <c r="M1" s="47" t="s">
        <v>107</v>
      </c>
      <c r="N1" s="49" t="s">
        <v>108</v>
      </c>
      <c r="O1" s="49" t="s">
        <v>109</v>
      </c>
      <c r="P1" s="47" t="s">
        <v>110</v>
      </c>
      <c r="Q1" s="47" t="s">
        <v>111</v>
      </c>
    </row>
    <row r="2" spans="1:17" x14ac:dyDescent="0.25">
      <c r="A2" s="3">
        <v>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116</v>
      </c>
      <c r="G2" s="3" t="s">
        <v>117</v>
      </c>
      <c r="H2" s="3" t="s">
        <v>118</v>
      </c>
      <c r="I2" s="3" t="s">
        <v>119</v>
      </c>
      <c r="J2" s="3" t="s">
        <v>120</v>
      </c>
      <c r="K2" s="3" t="s">
        <v>121</v>
      </c>
      <c r="L2" s="3">
        <v>2022</v>
      </c>
      <c r="M2" s="3" t="s">
        <v>122</v>
      </c>
      <c r="N2" s="16">
        <v>44604</v>
      </c>
      <c r="O2" s="16">
        <v>44604</v>
      </c>
      <c r="P2" s="3">
        <v>4</v>
      </c>
      <c r="Q2" s="3"/>
    </row>
    <row r="3" spans="1:17" x14ac:dyDescent="0.25">
      <c r="A3" s="3">
        <v>2</v>
      </c>
      <c r="B3" s="3" t="s">
        <v>112</v>
      </c>
      <c r="C3" s="3" t="s">
        <v>123</v>
      </c>
      <c r="D3" s="3" t="s">
        <v>124</v>
      </c>
      <c r="E3" s="3" t="s">
        <v>115</v>
      </c>
      <c r="F3" s="3" t="s">
        <v>116</v>
      </c>
      <c r="G3" s="3" t="s">
        <v>117</v>
      </c>
      <c r="H3" s="3" t="s">
        <v>118</v>
      </c>
      <c r="I3" s="3" t="s">
        <v>119</v>
      </c>
      <c r="J3" s="3" t="s">
        <v>120</v>
      </c>
      <c r="K3" s="3" t="s">
        <v>121</v>
      </c>
      <c r="L3" s="3">
        <v>2022</v>
      </c>
      <c r="M3" s="3" t="s">
        <v>122</v>
      </c>
      <c r="N3" s="16">
        <v>44604</v>
      </c>
      <c r="O3" s="16">
        <v>44604</v>
      </c>
      <c r="P3" s="3">
        <v>4</v>
      </c>
      <c r="Q3" s="3"/>
    </row>
    <row r="4" spans="1:17" x14ac:dyDescent="0.25">
      <c r="A4" s="3">
        <v>3</v>
      </c>
      <c r="B4" s="3" t="s">
        <v>112</v>
      </c>
      <c r="C4" s="3" t="s">
        <v>125</v>
      </c>
      <c r="D4" s="3" t="s">
        <v>126</v>
      </c>
      <c r="E4" s="3" t="s">
        <v>115</v>
      </c>
      <c r="F4" s="3" t="s">
        <v>116</v>
      </c>
      <c r="G4" s="3" t="s">
        <v>117</v>
      </c>
      <c r="H4" s="3" t="s">
        <v>118</v>
      </c>
      <c r="I4" s="3" t="s">
        <v>119</v>
      </c>
      <c r="J4" s="3" t="s">
        <v>120</v>
      </c>
      <c r="K4" s="3" t="s">
        <v>121</v>
      </c>
      <c r="L4" s="3">
        <v>2022</v>
      </c>
      <c r="M4" s="3" t="s">
        <v>122</v>
      </c>
      <c r="N4" s="16">
        <v>44604</v>
      </c>
      <c r="O4" s="16">
        <v>44604</v>
      </c>
      <c r="P4" s="3">
        <v>4</v>
      </c>
      <c r="Q4" s="3"/>
    </row>
    <row r="5" spans="1:17" x14ac:dyDescent="0.25">
      <c r="A5" s="3">
        <v>4</v>
      </c>
      <c r="B5" s="3" t="s">
        <v>112</v>
      </c>
      <c r="C5" s="3" t="s">
        <v>127</v>
      </c>
      <c r="D5" s="3" t="s">
        <v>128</v>
      </c>
      <c r="E5" s="3" t="s">
        <v>115</v>
      </c>
      <c r="F5" s="3" t="s">
        <v>116</v>
      </c>
      <c r="G5" s="3" t="s">
        <v>117</v>
      </c>
      <c r="H5" s="3" t="s">
        <v>118</v>
      </c>
      <c r="I5" s="3" t="s">
        <v>119</v>
      </c>
      <c r="J5" s="3" t="s">
        <v>120</v>
      </c>
      <c r="K5" s="3" t="s">
        <v>121</v>
      </c>
      <c r="L5" s="3">
        <v>2022</v>
      </c>
      <c r="M5" s="3" t="s">
        <v>122</v>
      </c>
      <c r="N5" s="16">
        <v>44604</v>
      </c>
      <c r="O5" s="16">
        <v>44604</v>
      </c>
      <c r="P5" s="3">
        <v>4</v>
      </c>
      <c r="Q5" s="3"/>
    </row>
    <row r="6" spans="1:17" x14ac:dyDescent="0.25">
      <c r="A6" s="3">
        <v>5</v>
      </c>
      <c r="B6" s="3" t="s">
        <v>112</v>
      </c>
      <c r="C6" s="3" t="s">
        <v>129</v>
      </c>
      <c r="D6" s="3" t="s">
        <v>130</v>
      </c>
      <c r="E6" s="3" t="s">
        <v>115</v>
      </c>
      <c r="F6" s="3" t="s">
        <v>116</v>
      </c>
      <c r="G6" s="3" t="s">
        <v>117</v>
      </c>
      <c r="H6" s="3" t="s">
        <v>118</v>
      </c>
      <c r="I6" s="3" t="s">
        <v>119</v>
      </c>
      <c r="J6" s="3" t="s">
        <v>120</v>
      </c>
      <c r="K6" s="3" t="s">
        <v>121</v>
      </c>
      <c r="L6" s="3">
        <v>2022</v>
      </c>
      <c r="M6" s="3" t="s">
        <v>122</v>
      </c>
      <c r="N6" s="16">
        <v>44604</v>
      </c>
      <c r="O6" s="16">
        <v>44604</v>
      </c>
      <c r="P6" s="3">
        <v>4</v>
      </c>
      <c r="Q6" s="3"/>
    </row>
    <row r="7" spans="1:17" x14ac:dyDescent="0.25">
      <c r="A7" s="3">
        <v>6</v>
      </c>
      <c r="B7" s="3" t="s">
        <v>112</v>
      </c>
      <c r="C7" s="3" t="s">
        <v>131</v>
      </c>
      <c r="D7" s="3" t="s">
        <v>132</v>
      </c>
      <c r="E7" s="3" t="s">
        <v>115</v>
      </c>
      <c r="F7" s="3" t="s">
        <v>116</v>
      </c>
      <c r="G7" s="3" t="s">
        <v>117</v>
      </c>
      <c r="H7" s="3" t="s">
        <v>118</v>
      </c>
      <c r="I7" s="3" t="s">
        <v>119</v>
      </c>
      <c r="J7" s="3" t="s">
        <v>120</v>
      </c>
      <c r="K7" s="3" t="s">
        <v>121</v>
      </c>
      <c r="L7" s="3">
        <v>2022</v>
      </c>
      <c r="M7" s="3" t="s">
        <v>122</v>
      </c>
      <c r="N7" s="16">
        <v>44604</v>
      </c>
      <c r="O7" s="16">
        <v>44604</v>
      </c>
      <c r="P7" s="3">
        <v>4</v>
      </c>
      <c r="Q7" s="3"/>
    </row>
    <row r="8" spans="1:17" x14ac:dyDescent="0.25">
      <c r="A8" s="3">
        <v>7</v>
      </c>
      <c r="B8" s="3" t="s">
        <v>112</v>
      </c>
      <c r="C8" s="3" t="s">
        <v>133</v>
      </c>
      <c r="D8" s="3" t="s">
        <v>134</v>
      </c>
      <c r="E8" s="3" t="s">
        <v>115</v>
      </c>
      <c r="F8" s="3" t="s">
        <v>116</v>
      </c>
      <c r="G8" s="3" t="s">
        <v>117</v>
      </c>
      <c r="H8" s="3" t="s">
        <v>118</v>
      </c>
      <c r="I8" s="3" t="s">
        <v>119</v>
      </c>
      <c r="J8" s="3" t="s">
        <v>120</v>
      </c>
      <c r="K8" s="3" t="s">
        <v>121</v>
      </c>
      <c r="L8" s="3">
        <v>2022</v>
      </c>
      <c r="M8" s="3" t="s">
        <v>122</v>
      </c>
      <c r="N8" s="16">
        <v>44604</v>
      </c>
      <c r="O8" s="16">
        <v>44604</v>
      </c>
      <c r="P8" s="3">
        <v>4</v>
      </c>
      <c r="Q8" s="3"/>
    </row>
    <row r="9" spans="1:17" x14ac:dyDescent="0.25">
      <c r="A9" s="3">
        <v>8</v>
      </c>
      <c r="B9" s="3" t="s">
        <v>112</v>
      </c>
      <c r="C9" s="3" t="s">
        <v>135</v>
      </c>
      <c r="D9" s="3" t="s">
        <v>136</v>
      </c>
      <c r="E9" s="3" t="s">
        <v>115</v>
      </c>
      <c r="F9" s="3" t="s">
        <v>116</v>
      </c>
      <c r="G9" s="3" t="s">
        <v>117</v>
      </c>
      <c r="H9" s="3" t="s">
        <v>118</v>
      </c>
      <c r="I9" s="3" t="s">
        <v>119</v>
      </c>
      <c r="J9" s="3" t="s">
        <v>120</v>
      </c>
      <c r="K9" s="3" t="s">
        <v>121</v>
      </c>
      <c r="L9" s="3">
        <v>2022</v>
      </c>
      <c r="M9" s="3" t="s">
        <v>122</v>
      </c>
      <c r="N9" s="16">
        <v>44604</v>
      </c>
      <c r="O9" s="16">
        <v>44604</v>
      </c>
      <c r="P9" s="3">
        <v>4</v>
      </c>
      <c r="Q9" s="3"/>
    </row>
    <row r="10" spans="1:17" x14ac:dyDescent="0.25">
      <c r="A10" s="3">
        <v>9</v>
      </c>
      <c r="B10" s="3" t="s">
        <v>112</v>
      </c>
      <c r="C10" s="3" t="s">
        <v>137</v>
      </c>
      <c r="D10" s="3" t="s">
        <v>138</v>
      </c>
      <c r="E10" s="3" t="s">
        <v>115</v>
      </c>
      <c r="F10" s="3" t="s">
        <v>116</v>
      </c>
      <c r="G10" s="3" t="s">
        <v>117</v>
      </c>
      <c r="H10" s="3" t="s">
        <v>118</v>
      </c>
      <c r="I10" s="3" t="s">
        <v>119</v>
      </c>
      <c r="J10" s="3" t="s">
        <v>120</v>
      </c>
      <c r="K10" s="3" t="s">
        <v>121</v>
      </c>
      <c r="L10" s="3">
        <v>2022</v>
      </c>
      <c r="M10" s="3" t="s">
        <v>122</v>
      </c>
      <c r="N10" s="16">
        <v>44604</v>
      </c>
      <c r="O10" s="16">
        <v>44604</v>
      </c>
      <c r="P10" s="3">
        <v>4</v>
      </c>
      <c r="Q10" s="3"/>
    </row>
    <row r="11" spans="1:17" x14ac:dyDescent="0.25">
      <c r="A11" s="3">
        <v>10</v>
      </c>
      <c r="B11" s="3" t="s">
        <v>112</v>
      </c>
      <c r="C11" s="3" t="s">
        <v>139</v>
      </c>
      <c r="D11" s="3" t="s">
        <v>140</v>
      </c>
      <c r="E11" s="3" t="s">
        <v>115</v>
      </c>
      <c r="F11" s="3" t="s">
        <v>116</v>
      </c>
      <c r="G11" s="3" t="s">
        <v>117</v>
      </c>
      <c r="H11" s="3" t="s">
        <v>118</v>
      </c>
      <c r="I11" s="3" t="s">
        <v>119</v>
      </c>
      <c r="J11" s="3" t="s">
        <v>120</v>
      </c>
      <c r="K11" s="3" t="s">
        <v>121</v>
      </c>
      <c r="L11" s="3">
        <v>2022</v>
      </c>
      <c r="M11" s="3" t="s">
        <v>122</v>
      </c>
      <c r="N11" s="16">
        <v>44604</v>
      </c>
      <c r="O11" s="16">
        <v>44604</v>
      </c>
      <c r="P11" s="3">
        <v>4</v>
      </c>
      <c r="Q11" s="3"/>
    </row>
    <row r="12" spans="1:17" x14ac:dyDescent="0.25">
      <c r="A12" s="3">
        <v>11</v>
      </c>
      <c r="B12" s="3" t="s">
        <v>112</v>
      </c>
      <c r="C12" s="3" t="s">
        <v>141</v>
      </c>
      <c r="D12" s="3" t="s">
        <v>142</v>
      </c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119</v>
      </c>
      <c r="J12" s="3" t="s">
        <v>120</v>
      </c>
      <c r="K12" s="3" t="s">
        <v>121</v>
      </c>
      <c r="L12" s="3">
        <v>2022</v>
      </c>
      <c r="M12" s="3" t="s">
        <v>122</v>
      </c>
      <c r="N12" s="16">
        <v>44604</v>
      </c>
      <c r="O12" s="16">
        <v>44604</v>
      </c>
      <c r="P12" s="3">
        <v>4</v>
      </c>
      <c r="Q12" s="3"/>
    </row>
    <row r="13" spans="1:17" x14ac:dyDescent="0.25">
      <c r="A13" s="3">
        <v>12</v>
      </c>
      <c r="B13" s="3" t="s">
        <v>112</v>
      </c>
      <c r="C13" s="3" t="s">
        <v>143</v>
      </c>
      <c r="D13" s="3" t="s">
        <v>144</v>
      </c>
      <c r="E13" s="3" t="s">
        <v>115</v>
      </c>
      <c r="F13" s="3" t="s">
        <v>145</v>
      </c>
      <c r="G13" s="3" t="s">
        <v>117</v>
      </c>
      <c r="H13" s="3" t="s">
        <v>118</v>
      </c>
      <c r="I13" s="3" t="s">
        <v>119</v>
      </c>
      <c r="J13" s="3" t="s">
        <v>120</v>
      </c>
      <c r="K13" s="3" t="s">
        <v>121</v>
      </c>
      <c r="L13" s="3">
        <v>2022</v>
      </c>
      <c r="M13" s="3" t="s">
        <v>122</v>
      </c>
      <c r="N13" s="16">
        <v>44604</v>
      </c>
      <c r="O13" s="16">
        <v>44604</v>
      </c>
      <c r="P13" s="3">
        <v>4</v>
      </c>
      <c r="Q13" s="3"/>
    </row>
    <row r="14" spans="1:17" x14ac:dyDescent="0.25">
      <c r="A14" s="3">
        <v>13</v>
      </c>
      <c r="B14" s="3" t="s">
        <v>112</v>
      </c>
      <c r="C14" s="3" t="s">
        <v>146</v>
      </c>
      <c r="D14" s="3" t="s">
        <v>147</v>
      </c>
      <c r="E14" s="3" t="s">
        <v>115</v>
      </c>
      <c r="F14" s="3" t="s">
        <v>145</v>
      </c>
      <c r="G14" s="3" t="s">
        <v>117</v>
      </c>
      <c r="H14" s="3" t="s">
        <v>118</v>
      </c>
      <c r="I14" s="3" t="s">
        <v>119</v>
      </c>
      <c r="J14" s="3" t="s">
        <v>120</v>
      </c>
      <c r="K14" s="3" t="s">
        <v>121</v>
      </c>
      <c r="L14" s="3">
        <v>2022</v>
      </c>
      <c r="M14" s="3" t="s">
        <v>122</v>
      </c>
      <c r="N14" s="16">
        <v>44604</v>
      </c>
      <c r="O14" s="16">
        <v>44604</v>
      </c>
      <c r="P14" s="3">
        <v>4</v>
      </c>
      <c r="Q14" s="3"/>
    </row>
    <row r="15" spans="1:17" x14ac:dyDescent="0.25">
      <c r="A15" s="3">
        <v>14</v>
      </c>
      <c r="B15" s="3" t="s">
        <v>112</v>
      </c>
      <c r="C15" s="3" t="s">
        <v>148</v>
      </c>
      <c r="D15" s="3" t="s">
        <v>149</v>
      </c>
      <c r="E15" s="3" t="s">
        <v>115</v>
      </c>
      <c r="F15" s="3" t="s">
        <v>145</v>
      </c>
      <c r="G15" s="3" t="s">
        <v>117</v>
      </c>
      <c r="H15" s="3" t="s">
        <v>118</v>
      </c>
      <c r="I15" s="3" t="s">
        <v>119</v>
      </c>
      <c r="J15" s="3" t="s">
        <v>120</v>
      </c>
      <c r="K15" s="3" t="s">
        <v>121</v>
      </c>
      <c r="L15" s="3">
        <v>2022</v>
      </c>
      <c r="M15" s="3" t="s">
        <v>122</v>
      </c>
      <c r="N15" s="16">
        <v>44604</v>
      </c>
      <c r="O15" s="16">
        <v>44604</v>
      </c>
      <c r="P15" s="3">
        <v>4</v>
      </c>
      <c r="Q15" s="3"/>
    </row>
    <row r="16" spans="1:17" x14ac:dyDescent="0.25">
      <c r="A16" s="3">
        <v>15</v>
      </c>
      <c r="B16" s="3" t="s">
        <v>112</v>
      </c>
      <c r="C16" s="3" t="s">
        <v>150</v>
      </c>
      <c r="D16" s="3" t="s">
        <v>151</v>
      </c>
      <c r="E16" s="3" t="s">
        <v>115</v>
      </c>
      <c r="F16" s="3" t="s">
        <v>145</v>
      </c>
      <c r="G16" s="3" t="s">
        <v>117</v>
      </c>
      <c r="H16" s="3" t="s">
        <v>118</v>
      </c>
      <c r="I16" s="3" t="s">
        <v>119</v>
      </c>
      <c r="J16" s="3" t="s">
        <v>120</v>
      </c>
      <c r="K16" s="3" t="s">
        <v>121</v>
      </c>
      <c r="L16" s="3">
        <v>2022</v>
      </c>
      <c r="M16" s="3" t="s">
        <v>122</v>
      </c>
      <c r="N16" s="16">
        <v>44604</v>
      </c>
      <c r="O16" s="16">
        <v>44604</v>
      </c>
      <c r="P16" s="3">
        <v>4</v>
      </c>
      <c r="Q16" s="3"/>
    </row>
    <row r="17" spans="1:17" x14ac:dyDescent="0.25">
      <c r="A17" s="3">
        <v>16</v>
      </c>
      <c r="B17" s="3" t="s">
        <v>112</v>
      </c>
      <c r="C17" s="3" t="s">
        <v>152</v>
      </c>
      <c r="D17" s="3" t="s">
        <v>153</v>
      </c>
      <c r="E17" s="3" t="s">
        <v>115</v>
      </c>
      <c r="F17" s="3" t="s">
        <v>145</v>
      </c>
      <c r="G17" s="3" t="s">
        <v>117</v>
      </c>
      <c r="H17" s="3" t="s">
        <v>118</v>
      </c>
      <c r="I17" s="3" t="s">
        <v>119</v>
      </c>
      <c r="J17" s="3" t="s">
        <v>120</v>
      </c>
      <c r="K17" s="3" t="s">
        <v>121</v>
      </c>
      <c r="L17" s="3">
        <v>2022</v>
      </c>
      <c r="M17" s="3" t="s">
        <v>122</v>
      </c>
      <c r="N17" s="16">
        <v>44604</v>
      </c>
      <c r="O17" s="16">
        <v>44604</v>
      </c>
      <c r="P17" s="3">
        <v>4</v>
      </c>
      <c r="Q17" s="3"/>
    </row>
    <row r="18" spans="1:17" x14ac:dyDescent="0.25">
      <c r="A18" s="3">
        <v>17</v>
      </c>
      <c r="B18" s="3" t="s">
        <v>112</v>
      </c>
      <c r="C18" s="3" t="s">
        <v>154</v>
      </c>
      <c r="D18" s="3" t="s">
        <v>155</v>
      </c>
      <c r="E18" s="3" t="s">
        <v>115</v>
      </c>
      <c r="F18" s="3" t="s">
        <v>145</v>
      </c>
      <c r="G18" s="3" t="s">
        <v>117</v>
      </c>
      <c r="H18" s="3" t="s">
        <v>118</v>
      </c>
      <c r="I18" s="3" t="s">
        <v>119</v>
      </c>
      <c r="J18" s="3" t="s">
        <v>120</v>
      </c>
      <c r="K18" s="3" t="s">
        <v>121</v>
      </c>
      <c r="L18" s="3">
        <v>2022</v>
      </c>
      <c r="M18" s="3" t="s">
        <v>122</v>
      </c>
      <c r="N18" s="16">
        <v>44604</v>
      </c>
      <c r="O18" s="16">
        <v>44604</v>
      </c>
      <c r="P18" s="3">
        <v>4</v>
      </c>
      <c r="Q18" s="3"/>
    </row>
    <row r="19" spans="1:17" x14ac:dyDescent="0.25">
      <c r="A19" s="3">
        <v>18</v>
      </c>
      <c r="B19" s="3" t="s">
        <v>112</v>
      </c>
      <c r="C19" s="3" t="s">
        <v>156</v>
      </c>
      <c r="D19" s="3" t="s">
        <v>157</v>
      </c>
      <c r="E19" s="3" t="s">
        <v>115</v>
      </c>
      <c r="F19" s="3" t="s">
        <v>145</v>
      </c>
      <c r="G19" s="3" t="s">
        <v>117</v>
      </c>
      <c r="H19" s="3" t="s">
        <v>118</v>
      </c>
      <c r="I19" s="3" t="s">
        <v>119</v>
      </c>
      <c r="J19" s="3" t="s">
        <v>120</v>
      </c>
      <c r="K19" s="3" t="s">
        <v>121</v>
      </c>
      <c r="L19" s="3">
        <v>2022</v>
      </c>
      <c r="M19" s="3" t="s">
        <v>122</v>
      </c>
      <c r="N19" s="16">
        <v>44604</v>
      </c>
      <c r="O19" s="16">
        <v>44604</v>
      </c>
      <c r="P19" s="3">
        <v>4</v>
      </c>
      <c r="Q19" s="3"/>
    </row>
    <row r="20" spans="1:17" x14ac:dyDescent="0.25">
      <c r="A20" s="3">
        <v>19</v>
      </c>
      <c r="B20" s="3" t="s">
        <v>112</v>
      </c>
      <c r="C20" s="3" t="s">
        <v>158</v>
      </c>
      <c r="D20" s="3" t="s">
        <v>159</v>
      </c>
      <c r="E20" s="3" t="s">
        <v>160</v>
      </c>
      <c r="F20" s="3" t="s">
        <v>161</v>
      </c>
      <c r="G20" s="3" t="s">
        <v>117</v>
      </c>
      <c r="H20" s="3" t="s">
        <v>118</v>
      </c>
      <c r="I20" s="3" t="s">
        <v>119</v>
      </c>
      <c r="J20" s="3" t="s">
        <v>120</v>
      </c>
      <c r="K20" s="3" t="s">
        <v>121</v>
      </c>
      <c r="L20" s="3">
        <v>2022</v>
      </c>
      <c r="M20" s="3" t="s">
        <v>122</v>
      </c>
      <c r="N20" s="16">
        <v>44604</v>
      </c>
      <c r="O20" s="16">
        <v>44604</v>
      </c>
      <c r="P20" s="3">
        <v>4</v>
      </c>
      <c r="Q20" s="3"/>
    </row>
    <row r="21" spans="1:17" x14ac:dyDescent="0.25">
      <c r="A21" s="3">
        <v>20</v>
      </c>
      <c r="B21" s="3" t="s">
        <v>112</v>
      </c>
      <c r="C21" s="3" t="s">
        <v>162</v>
      </c>
      <c r="D21" s="3" t="s">
        <v>163</v>
      </c>
      <c r="E21" s="3" t="s">
        <v>164</v>
      </c>
      <c r="F21" s="3" t="s">
        <v>161</v>
      </c>
      <c r="G21" s="3" t="s">
        <v>117</v>
      </c>
      <c r="H21" s="3" t="s">
        <v>118</v>
      </c>
      <c r="I21" s="3" t="s">
        <v>119</v>
      </c>
      <c r="J21" s="3" t="s">
        <v>120</v>
      </c>
      <c r="K21" s="3" t="s">
        <v>121</v>
      </c>
      <c r="L21" s="3">
        <v>2022</v>
      </c>
      <c r="M21" s="3" t="s">
        <v>122</v>
      </c>
      <c r="N21" s="16">
        <v>44604</v>
      </c>
      <c r="O21" s="16">
        <v>44604</v>
      </c>
      <c r="P21" s="3">
        <v>4</v>
      </c>
      <c r="Q21" s="3"/>
    </row>
    <row r="22" spans="1:17" x14ac:dyDescent="0.25">
      <c r="A22" s="3">
        <v>21</v>
      </c>
      <c r="B22" s="3" t="s">
        <v>112</v>
      </c>
      <c r="C22" s="3" t="s">
        <v>165</v>
      </c>
      <c r="D22" s="3" t="s">
        <v>166</v>
      </c>
      <c r="E22" s="3" t="s">
        <v>164</v>
      </c>
      <c r="F22" s="3" t="s">
        <v>161</v>
      </c>
      <c r="G22" s="3" t="s">
        <v>117</v>
      </c>
      <c r="H22" s="3" t="s">
        <v>118</v>
      </c>
      <c r="I22" s="3" t="s">
        <v>119</v>
      </c>
      <c r="J22" s="3" t="s">
        <v>120</v>
      </c>
      <c r="K22" s="3" t="s">
        <v>121</v>
      </c>
      <c r="L22" s="3">
        <v>2022</v>
      </c>
      <c r="M22" s="3" t="s">
        <v>122</v>
      </c>
      <c r="N22" s="16">
        <v>44604</v>
      </c>
      <c r="O22" s="16">
        <v>44604</v>
      </c>
      <c r="P22" s="3">
        <v>4</v>
      </c>
      <c r="Q22" s="3"/>
    </row>
    <row r="23" spans="1:17" x14ac:dyDescent="0.25">
      <c r="A23" s="3">
        <v>22</v>
      </c>
      <c r="B23" s="3" t="s">
        <v>112</v>
      </c>
      <c r="C23" s="3" t="s">
        <v>167</v>
      </c>
      <c r="D23" s="3" t="s">
        <v>168</v>
      </c>
      <c r="E23" s="3" t="s">
        <v>169</v>
      </c>
      <c r="F23" s="3" t="s">
        <v>161</v>
      </c>
      <c r="G23" s="3" t="s">
        <v>117</v>
      </c>
      <c r="H23" s="3" t="s">
        <v>118</v>
      </c>
      <c r="I23" s="3" t="s">
        <v>119</v>
      </c>
      <c r="J23" s="3" t="s">
        <v>120</v>
      </c>
      <c r="K23" s="3" t="s">
        <v>121</v>
      </c>
      <c r="L23" s="3">
        <v>2022</v>
      </c>
      <c r="M23" s="3" t="s">
        <v>122</v>
      </c>
      <c r="N23" s="16">
        <v>44604</v>
      </c>
      <c r="O23" s="16">
        <v>44604</v>
      </c>
      <c r="P23" s="3">
        <v>4</v>
      </c>
      <c r="Q23" s="3"/>
    </row>
    <row r="24" spans="1:17" x14ac:dyDescent="0.25">
      <c r="A24" s="3">
        <v>23</v>
      </c>
      <c r="B24" s="3" t="s">
        <v>112</v>
      </c>
      <c r="C24" s="3" t="s">
        <v>170</v>
      </c>
      <c r="D24" s="3" t="s">
        <v>171</v>
      </c>
      <c r="E24" s="3" t="s">
        <v>169</v>
      </c>
      <c r="F24" s="3" t="s">
        <v>161</v>
      </c>
      <c r="G24" s="3" t="s">
        <v>117</v>
      </c>
      <c r="H24" s="3" t="s">
        <v>118</v>
      </c>
      <c r="I24" s="3" t="s">
        <v>119</v>
      </c>
      <c r="J24" s="3" t="s">
        <v>120</v>
      </c>
      <c r="K24" s="3" t="s">
        <v>121</v>
      </c>
      <c r="L24" s="3">
        <v>2022</v>
      </c>
      <c r="M24" s="3" t="s">
        <v>122</v>
      </c>
      <c r="N24" s="16">
        <v>44604</v>
      </c>
      <c r="O24" s="16">
        <v>44604</v>
      </c>
      <c r="P24" s="3">
        <v>4</v>
      </c>
      <c r="Q24" s="3"/>
    </row>
    <row r="25" spans="1:17" x14ac:dyDescent="0.25">
      <c r="A25" s="3">
        <v>24</v>
      </c>
      <c r="B25" s="3" t="s">
        <v>112</v>
      </c>
      <c r="C25" s="3" t="s">
        <v>172</v>
      </c>
      <c r="D25" s="3" t="s">
        <v>173</v>
      </c>
      <c r="E25" s="3" t="s">
        <v>169</v>
      </c>
      <c r="F25" s="3" t="s">
        <v>161</v>
      </c>
      <c r="G25" s="3" t="s">
        <v>117</v>
      </c>
      <c r="H25" s="3" t="s">
        <v>118</v>
      </c>
      <c r="I25" s="3" t="s">
        <v>119</v>
      </c>
      <c r="J25" s="3" t="s">
        <v>120</v>
      </c>
      <c r="K25" s="3" t="s">
        <v>121</v>
      </c>
      <c r="L25" s="3">
        <v>2022</v>
      </c>
      <c r="M25" s="3" t="s">
        <v>122</v>
      </c>
      <c r="N25" s="16">
        <v>44604</v>
      </c>
      <c r="O25" s="16">
        <v>44604</v>
      </c>
      <c r="P25" s="3">
        <v>4</v>
      </c>
      <c r="Q25" s="3"/>
    </row>
    <row r="26" spans="1:17" x14ac:dyDescent="0.25">
      <c r="A26" s="3">
        <v>25</v>
      </c>
      <c r="B26" s="3" t="s">
        <v>112</v>
      </c>
      <c r="C26" s="3" t="s">
        <v>174</v>
      </c>
      <c r="D26" s="3" t="s">
        <v>175</v>
      </c>
      <c r="E26" s="3" t="s">
        <v>169</v>
      </c>
      <c r="F26" s="3" t="s">
        <v>176</v>
      </c>
      <c r="G26" s="3" t="s">
        <v>117</v>
      </c>
      <c r="H26" s="3" t="s">
        <v>118</v>
      </c>
      <c r="I26" s="3" t="s">
        <v>119</v>
      </c>
      <c r="J26" s="3" t="s">
        <v>120</v>
      </c>
      <c r="K26" s="3" t="s">
        <v>121</v>
      </c>
      <c r="L26" s="3">
        <v>2022</v>
      </c>
      <c r="M26" s="3" t="s">
        <v>122</v>
      </c>
      <c r="N26" s="16">
        <v>44604</v>
      </c>
      <c r="O26" s="16">
        <v>44604</v>
      </c>
      <c r="P26" s="3">
        <v>4</v>
      </c>
      <c r="Q26" s="3"/>
    </row>
    <row r="27" spans="1:17" x14ac:dyDescent="0.25">
      <c r="A27" s="3">
        <v>26</v>
      </c>
      <c r="B27" s="3" t="s">
        <v>112</v>
      </c>
      <c r="C27" s="3" t="s">
        <v>177</v>
      </c>
      <c r="D27" s="3" t="s">
        <v>178</v>
      </c>
      <c r="E27" s="3" t="s">
        <v>164</v>
      </c>
      <c r="F27" s="3" t="s">
        <v>176</v>
      </c>
      <c r="G27" s="3" t="s">
        <v>117</v>
      </c>
      <c r="H27" s="3" t="s">
        <v>118</v>
      </c>
      <c r="I27" s="3" t="s">
        <v>119</v>
      </c>
      <c r="J27" s="3" t="s">
        <v>120</v>
      </c>
      <c r="K27" s="3" t="s">
        <v>121</v>
      </c>
      <c r="L27" s="3">
        <v>2022</v>
      </c>
      <c r="M27" s="3" t="s">
        <v>122</v>
      </c>
      <c r="N27" s="16">
        <v>44604</v>
      </c>
      <c r="O27" s="16">
        <v>44604</v>
      </c>
      <c r="P27" s="3">
        <v>4</v>
      </c>
      <c r="Q27" s="3"/>
    </row>
    <row r="28" spans="1:17" x14ac:dyDescent="0.25">
      <c r="A28" s="3">
        <v>27</v>
      </c>
      <c r="B28" s="3" t="s">
        <v>112</v>
      </c>
      <c r="C28" s="3" t="s">
        <v>179</v>
      </c>
      <c r="D28" s="3" t="s">
        <v>180</v>
      </c>
      <c r="E28" s="3" t="s">
        <v>169</v>
      </c>
      <c r="F28" s="3" t="s">
        <v>176</v>
      </c>
      <c r="G28" s="3" t="s">
        <v>117</v>
      </c>
      <c r="H28" s="3" t="s">
        <v>118</v>
      </c>
      <c r="I28" s="3" t="s">
        <v>119</v>
      </c>
      <c r="J28" s="3" t="s">
        <v>120</v>
      </c>
      <c r="K28" s="3" t="s">
        <v>121</v>
      </c>
      <c r="L28" s="3">
        <v>2022</v>
      </c>
      <c r="M28" s="3" t="s">
        <v>122</v>
      </c>
      <c r="N28" s="16">
        <v>44604</v>
      </c>
      <c r="O28" s="16">
        <v>44604</v>
      </c>
      <c r="P28" s="3">
        <v>4</v>
      </c>
      <c r="Q28" s="3"/>
    </row>
    <row r="29" spans="1:17" x14ac:dyDescent="0.25">
      <c r="A29" s="3">
        <v>28</v>
      </c>
      <c r="B29" s="3" t="s">
        <v>112</v>
      </c>
      <c r="C29" s="3" t="s">
        <v>181</v>
      </c>
      <c r="D29" s="3" t="s">
        <v>182</v>
      </c>
      <c r="E29" s="3" t="s">
        <v>164</v>
      </c>
      <c r="F29" s="3" t="s">
        <v>176</v>
      </c>
      <c r="G29" s="3" t="s">
        <v>117</v>
      </c>
      <c r="H29" s="3" t="s">
        <v>118</v>
      </c>
      <c r="I29" s="3" t="s">
        <v>119</v>
      </c>
      <c r="J29" s="3" t="s">
        <v>120</v>
      </c>
      <c r="K29" s="3" t="s">
        <v>121</v>
      </c>
      <c r="L29" s="3">
        <v>2022</v>
      </c>
      <c r="M29" s="3" t="s">
        <v>122</v>
      </c>
      <c r="N29" s="16">
        <v>44604</v>
      </c>
      <c r="O29" s="16">
        <v>44604</v>
      </c>
      <c r="P29" s="3">
        <v>4</v>
      </c>
      <c r="Q29" s="3"/>
    </row>
    <row r="30" spans="1:17" x14ac:dyDescent="0.25">
      <c r="A30" s="3">
        <v>29</v>
      </c>
      <c r="B30" s="3" t="s">
        <v>112</v>
      </c>
      <c r="C30" s="3" t="s">
        <v>183</v>
      </c>
      <c r="D30" s="3" t="s">
        <v>184</v>
      </c>
      <c r="E30" s="3" t="s">
        <v>164</v>
      </c>
      <c r="F30" s="3" t="s">
        <v>176</v>
      </c>
      <c r="G30" s="3" t="s">
        <v>117</v>
      </c>
      <c r="H30" s="3" t="s">
        <v>118</v>
      </c>
      <c r="I30" s="3" t="s">
        <v>119</v>
      </c>
      <c r="J30" s="3" t="s">
        <v>120</v>
      </c>
      <c r="K30" s="3" t="s">
        <v>121</v>
      </c>
      <c r="L30" s="3">
        <v>2022</v>
      </c>
      <c r="M30" s="3" t="s">
        <v>122</v>
      </c>
      <c r="N30" s="16">
        <v>44604</v>
      </c>
      <c r="O30" s="16">
        <v>44604</v>
      </c>
      <c r="P30" s="3">
        <v>4</v>
      </c>
      <c r="Q30" s="3"/>
    </row>
    <row r="31" spans="1:17" x14ac:dyDescent="0.25">
      <c r="A31" s="3">
        <v>30</v>
      </c>
      <c r="B31" s="3" t="s">
        <v>112</v>
      </c>
      <c r="C31" s="3" t="s">
        <v>185</v>
      </c>
      <c r="D31" s="3" t="s">
        <v>186</v>
      </c>
      <c r="E31" s="3" t="s">
        <v>169</v>
      </c>
      <c r="F31" s="3" t="s">
        <v>176</v>
      </c>
      <c r="G31" s="3" t="s">
        <v>117</v>
      </c>
      <c r="H31" s="3" t="s">
        <v>118</v>
      </c>
      <c r="I31" s="3" t="s">
        <v>119</v>
      </c>
      <c r="J31" s="3" t="s">
        <v>120</v>
      </c>
      <c r="K31" s="3" t="s">
        <v>121</v>
      </c>
      <c r="L31" s="3">
        <v>2022</v>
      </c>
      <c r="M31" s="3" t="s">
        <v>122</v>
      </c>
      <c r="N31" s="16">
        <v>44604</v>
      </c>
      <c r="O31" s="16">
        <v>44604</v>
      </c>
      <c r="P31" s="3">
        <v>4</v>
      </c>
      <c r="Q31" s="3"/>
    </row>
    <row r="32" spans="1:17" x14ac:dyDescent="0.25">
      <c r="A32" s="3">
        <v>31</v>
      </c>
      <c r="B32" s="3" t="s">
        <v>112</v>
      </c>
      <c r="C32" s="3" t="s">
        <v>187</v>
      </c>
      <c r="D32" s="3" t="s">
        <v>188</v>
      </c>
      <c r="E32" s="3" t="s">
        <v>164</v>
      </c>
      <c r="F32" s="3" t="s">
        <v>176</v>
      </c>
      <c r="G32" s="3" t="s">
        <v>117</v>
      </c>
      <c r="H32" s="3" t="s">
        <v>118</v>
      </c>
      <c r="I32" s="3" t="s">
        <v>119</v>
      </c>
      <c r="J32" s="3" t="s">
        <v>120</v>
      </c>
      <c r="K32" s="3" t="s">
        <v>121</v>
      </c>
      <c r="L32" s="3">
        <v>2022</v>
      </c>
      <c r="M32" s="3" t="s">
        <v>122</v>
      </c>
      <c r="N32" s="16">
        <v>44604</v>
      </c>
      <c r="O32" s="16">
        <v>44604</v>
      </c>
      <c r="P32" s="3">
        <v>4</v>
      </c>
      <c r="Q32" s="3"/>
    </row>
    <row r="33" spans="1:17" x14ac:dyDescent="0.25">
      <c r="A33" s="3">
        <v>32</v>
      </c>
      <c r="B33" s="3" t="s">
        <v>112</v>
      </c>
      <c r="C33" s="3" t="s">
        <v>189</v>
      </c>
      <c r="D33" s="3" t="s">
        <v>190</v>
      </c>
      <c r="E33" s="3" t="s">
        <v>169</v>
      </c>
      <c r="F33" s="3" t="s">
        <v>176</v>
      </c>
      <c r="G33" s="3" t="s">
        <v>117</v>
      </c>
      <c r="H33" s="3" t="s">
        <v>118</v>
      </c>
      <c r="I33" s="3" t="s">
        <v>119</v>
      </c>
      <c r="J33" s="3" t="s">
        <v>120</v>
      </c>
      <c r="K33" s="3" t="s">
        <v>121</v>
      </c>
      <c r="L33" s="3">
        <v>2022</v>
      </c>
      <c r="M33" s="3" t="s">
        <v>122</v>
      </c>
      <c r="N33" s="16">
        <v>44604</v>
      </c>
      <c r="O33" s="16">
        <v>44604</v>
      </c>
      <c r="P33" s="3">
        <v>4</v>
      </c>
      <c r="Q33" s="3"/>
    </row>
    <row r="34" spans="1:17" x14ac:dyDescent="0.25">
      <c r="A34" s="3">
        <v>33</v>
      </c>
      <c r="B34" s="3" t="s">
        <v>112</v>
      </c>
      <c r="C34" s="3" t="s">
        <v>191</v>
      </c>
      <c r="D34" s="3" t="s">
        <v>192</v>
      </c>
      <c r="E34" s="3" t="s">
        <v>169</v>
      </c>
      <c r="F34" s="3" t="s">
        <v>176</v>
      </c>
      <c r="G34" s="3" t="s">
        <v>117</v>
      </c>
      <c r="H34" s="3" t="s">
        <v>118</v>
      </c>
      <c r="I34" s="3" t="s">
        <v>119</v>
      </c>
      <c r="J34" s="3" t="s">
        <v>120</v>
      </c>
      <c r="K34" s="3" t="s">
        <v>121</v>
      </c>
      <c r="L34" s="3">
        <v>2022</v>
      </c>
      <c r="M34" s="3" t="s">
        <v>122</v>
      </c>
      <c r="N34" s="16">
        <v>44604</v>
      </c>
      <c r="O34" s="16">
        <v>44604</v>
      </c>
      <c r="P34" s="3">
        <v>4</v>
      </c>
      <c r="Q34" s="3"/>
    </row>
    <row r="35" spans="1:17" x14ac:dyDescent="0.25">
      <c r="A35" s="3">
        <v>34</v>
      </c>
      <c r="B35" s="3" t="s">
        <v>112</v>
      </c>
      <c r="C35" s="3" t="s">
        <v>193</v>
      </c>
      <c r="D35" s="3" t="s">
        <v>194</v>
      </c>
      <c r="E35" s="3" t="s">
        <v>164</v>
      </c>
      <c r="F35" s="3" t="s">
        <v>176</v>
      </c>
      <c r="G35" s="3" t="s">
        <v>117</v>
      </c>
      <c r="H35" s="3" t="s">
        <v>118</v>
      </c>
      <c r="I35" s="3" t="s">
        <v>119</v>
      </c>
      <c r="J35" s="3" t="s">
        <v>120</v>
      </c>
      <c r="K35" s="3" t="s">
        <v>121</v>
      </c>
      <c r="L35" s="3">
        <v>2022</v>
      </c>
      <c r="M35" s="3" t="s">
        <v>122</v>
      </c>
      <c r="N35" s="16">
        <v>44604</v>
      </c>
      <c r="O35" s="16">
        <v>44604</v>
      </c>
      <c r="P35" s="3">
        <v>4</v>
      </c>
      <c r="Q35" s="3"/>
    </row>
    <row r="36" spans="1:17" x14ac:dyDescent="0.25">
      <c r="A36" s="3">
        <v>35</v>
      </c>
      <c r="B36" s="3" t="s">
        <v>112</v>
      </c>
      <c r="C36" s="3" t="s">
        <v>195</v>
      </c>
      <c r="D36" s="3" t="s">
        <v>196</v>
      </c>
      <c r="E36" s="3" t="s">
        <v>164</v>
      </c>
      <c r="F36" s="3" t="s">
        <v>197</v>
      </c>
      <c r="G36" s="3" t="s">
        <v>198</v>
      </c>
      <c r="H36" s="3" t="s">
        <v>118</v>
      </c>
      <c r="I36" s="3" t="s">
        <v>119</v>
      </c>
      <c r="J36" s="3" t="s">
        <v>120</v>
      </c>
      <c r="K36" s="3" t="s">
        <v>121</v>
      </c>
      <c r="L36" s="3">
        <v>2022</v>
      </c>
      <c r="M36" s="3" t="s">
        <v>122</v>
      </c>
      <c r="N36" s="16">
        <v>44604</v>
      </c>
      <c r="O36" s="16">
        <v>44604</v>
      </c>
      <c r="P36" s="3">
        <v>4</v>
      </c>
      <c r="Q36" s="3"/>
    </row>
    <row r="37" spans="1:17" x14ac:dyDescent="0.25">
      <c r="A37" s="3">
        <v>36</v>
      </c>
      <c r="B37" s="3" t="s">
        <v>112</v>
      </c>
      <c r="C37" s="3" t="s">
        <v>199</v>
      </c>
      <c r="D37" s="3" t="s">
        <v>200</v>
      </c>
      <c r="E37" s="3" t="s">
        <v>169</v>
      </c>
      <c r="F37" s="3" t="s">
        <v>197</v>
      </c>
      <c r="G37" s="3" t="s">
        <v>198</v>
      </c>
      <c r="H37" s="3" t="s">
        <v>118</v>
      </c>
      <c r="I37" s="3" t="s">
        <v>119</v>
      </c>
      <c r="J37" s="3" t="s">
        <v>120</v>
      </c>
      <c r="K37" s="3" t="s">
        <v>121</v>
      </c>
      <c r="L37" s="3">
        <v>2022</v>
      </c>
      <c r="M37" s="3" t="s">
        <v>122</v>
      </c>
      <c r="N37" s="16">
        <v>44604</v>
      </c>
      <c r="O37" s="16">
        <v>44604</v>
      </c>
      <c r="P37" s="3">
        <v>4</v>
      </c>
      <c r="Q37" s="3"/>
    </row>
    <row r="38" spans="1:17" x14ac:dyDescent="0.25">
      <c r="A38" s="3">
        <v>37</v>
      </c>
      <c r="B38" s="3" t="s">
        <v>112</v>
      </c>
      <c r="C38" s="3" t="s">
        <v>201</v>
      </c>
      <c r="D38" s="3" t="s">
        <v>202</v>
      </c>
      <c r="E38" s="3" t="s">
        <v>169</v>
      </c>
      <c r="F38" s="3" t="s">
        <v>197</v>
      </c>
      <c r="G38" s="3" t="s">
        <v>198</v>
      </c>
      <c r="H38" s="3" t="s">
        <v>118</v>
      </c>
      <c r="I38" s="3" t="s">
        <v>119</v>
      </c>
      <c r="J38" s="3" t="s">
        <v>120</v>
      </c>
      <c r="K38" s="3" t="s">
        <v>121</v>
      </c>
      <c r="L38" s="3">
        <v>2022</v>
      </c>
      <c r="M38" s="3" t="s">
        <v>122</v>
      </c>
      <c r="N38" s="16">
        <v>44604</v>
      </c>
      <c r="O38" s="16">
        <v>44604</v>
      </c>
      <c r="P38" s="3">
        <v>4</v>
      </c>
      <c r="Q38" s="3"/>
    </row>
    <row r="39" spans="1:17" x14ac:dyDescent="0.25">
      <c r="A39" s="3">
        <v>38</v>
      </c>
      <c r="B39" s="3" t="s">
        <v>112</v>
      </c>
      <c r="C39" s="3" t="s">
        <v>203</v>
      </c>
      <c r="D39" s="3" t="s">
        <v>204</v>
      </c>
      <c r="E39" s="3" t="s">
        <v>169</v>
      </c>
      <c r="F39" s="3" t="s">
        <v>197</v>
      </c>
      <c r="G39" s="3" t="s">
        <v>198</v>
      </c>
      <c r="H39" s="3" t="s">
        <v>118</v>
      </c>
      <c r="I39" s="3" t="s">
        <v>119</v>
      </c>
      <c r="J39" s="3" t="s">
        <v>120</v>
      </c>
      <c r="K39" s="3" t="s">
        <v>121</v>
      </c>
      <c r="L39" s="3">
        <v>2022</v>
      </c>
      <c r="M39" s="3" t="s">
        <v>122</v>
      </c>
      <c r="N39" s="16">
        <v>44604</v>
      </c>
      <c r="O39" s="16">
        <v>44604</v>
      </c>
      <c r="P39" s="3">
        <v>4</v>
      </c>
      <c r="Q39" s="3"/>
    </row>
    <row r="40" spans="1:17" x14ac:dyDescent="0.25">
      <c r="A40" s="3">
        <v>39</v>
      </c>
      <c r="B40" s="3" t="s">
        <v>112</v>
      </c>
      <c r="C40" s="3" t="s">
        <v>205</v>
      </c>
      <c r="D40" s="3" t="s">
        <v>206</v>
      </c>
      <c r="E40" s="3" t="s">
        <v>169</v>
      </c>
      <c r="F40" s="3" t="s">
        <v>197</v>
      </c>
      <c r="G40" s="3" t="s">
        <v>198</v>
      </c>
      <c r="H40" s="3" t="s">
        <v>118</v>
      </c>
      <c r="I40" s="3" t="s">
        <v>119</v>
      </c>
      <c r="J40" s="3" t="s">
        <v>120</v>
      </c>
      <c r="K40" s="3" t="s">
        <v>121</v>
      </c>
      <c r="L40" s="3">
        <v>2022</v>
      </c>
      <c r="M40" s="3" t="s">
        <v>122</v>
      </c>
      <c r="N40" s="16">
        <v>44604</v>
      </c>
      <c r="O40" s="16">
        <v>44604</v>
      </c>
      <c r="P40" s="3">
        <v>4</v>
      </c>
      <c r="Q40" s="3"/>
    </row>
    <row r="41" spans="1:17" x14ac:dyDescent="0.25">
      <c r="A41" s="3">
        <v>40</v>
      </c>
      <c r="B41" s="3" t="s">
        <v>112</v>
      </c>
      <c r="C41" s="3" t="s">
        <v>207</v>
      </c>
      <c r="D41" s="3" t="s">
        <v>208</v>
      </c>
      <c r="E41" s="3" t="s">
        <v>169</v>
      </c>
      <c r="F41" s="3" t="s">
        <v>197</v>
      </c>
      <c r="G41" s="3" t="s">
        <v>198</v>
      </c>
      <c r="H41" s="3" t="s">
        <v>118</v>
      </c>
      <c r="I41" s="3" t="s">
        <v>119</v>
      </c>
      <c r="J41" s="3" t="s">
        <v>120</v>
      </c>
      <c r="K41" s="3" t="s">
        <v>121</v>
      </c>
      <c r="L41" s="3">
        <v>2022</v>
      </c>
      <c r="M41" s="3" t="s">
        <v>122</v>
      </c>
      <c r="N41" s="16">
        <v>44604</v>
      </c>
      <c r="O41" s="16">
        <v>44604</v>
      </c>
      <c r="P41" s="3">
        <v>4</v>
      </c>
      <c r="Q41" s="3"/>
    </row>
    <row r="42" spans="1:17" x14ac:dyDescent="0.25">
      <c r="A42" s="3">
        <v>41</v>
      </c>
      <c r="B42" s="3" t="s">
        <v>112</v>
      </c>
      <c r="C42" s="3" t="s">
        <v>209</v>
      </c>
      <c r="D42" s="3" t="s">
        <v>210</v>
      </c>
      <c r="E42" s="3" t="s">
        <v>169</v>
      </c>
      <c r="F42" s="3" t="s">
        <v>197</v>
      </c>
      <c r="G42" s="3" t="s">
        <v>198</v>
      </c>
      <c r="H42" s="3" t="s">
        <v>118</v>
      </c>
      <c r="I42" s="3" t="s">
        <v>119</v>
      </c>
      <c r="J42" s="3" t="s">
        <v>120</v>
      </c>
      <c r="K42" s="3" t="s">
        <v>121</v>
      </c>
      <c r="L42" s="3">
        <v>2022</v>
      </c>
      <c r="M42" s="3" t="s">
        <v>122</v>
      </c>
      <c r="N42" s="16">
        <v>44604</v>
      </c>
      <c r="O42" s="16">
        <v>44604</v>
      </c>
      <c r="P42" s="3">
        <v>4</v>
      </c>
      <c r="Q42" s="3"/>
    </row>
    <row r="43" spans="1:17" x14ac:dyDescent="0.25">
      <c r="A43" s="3">
        <v>42</v>
      </c>
      <c r="B43" s="3" t="s">
        <v>112</v>
      </c>
      <c r="C43" s="3" t="s">
        <v>211</v>
      </c>
      <c r="D43" s="3" t="s">
        <v>212</v>
      </c>
      <c r="E43" s="3" t="s">
        <v>169</v>
      </c>
      <c r="F43" s="3" t="s">
        <v>197</v>
      </c>
      <c r="G43" s="3" t="s">
        <v>198</v>
      </c>
      <c r="H43" s="3" t="s">
        <v>118</v>
      </c>
      <c r="I43" s="3" t="s">
        <v>119</v>
      </c>
      <c r="J43" s="3" t="s">
        <v>120</v>
      </c>
      <c r="K43" s="3" t="s">
        <v>121</v>
      </c>
      <c r="L43" s="3">
        <v>2022</v>
      </c>
      <c r="M43" s="3" t="s">
        <v>122</v>
      </c>
      <c r="N43" s="16">
        <v>44604</v>
      </c>
      <c r="O43" s="16">
        <v>44604</v>
      </c>
      <c r="P43" s="3">
        <v>4</v>
      </c>
      <c r="Q43" s="3"/>
    </row>
    <row r="44" spans="1:17" x14ac:dyDescent="0.25">
      <c r="A44" s="3">
        <v>43</v>
      </c>
      <c r="B44" s="3" t="s">
        <v>112</v>
      </c>
      <c r="C44" s="3" t="s">
        <v>213</v>
      </c>
      <c r="D44" s="3" t="s">
        <v>214</v>
      </c>
      <c r="E44" s="3" t="s">
        <v>169</v>
      </c>
      <c r="F44" s="3" t="s">
        <v>215</v>
      </c>
      <c r="G44" s="3" t="s">
        <v>198</v>
      </c>
      <c r="H44" s="3" t="s">
        <v>118</v>
      </c>
      <c r="I44" s="3" t="s">
        <v>119</v>
      </c>
      <c r="J44" s="3" t="s">
        <v>120</v>
      </c>
      <c r="K44" s="3" t="s">
        <v>121</v>
      </c>
      <c r="L44" s="3">
        <v>2022</v>
      </c>
      <c r="M44" s="3" t="s">
        <v>122</v>
      </c>
      <c r="N44" s="16">
        <v>44604</v>
      </c>
      <c r="O44" s="16">
        <v>44604</v>
      </c>
      <c r="P44" s="3">
        <v>4</v>
      </c>
      <c r="Q44" s="3"/>
    </row>
    <row r="45" spans="1:17" x14ac:dyDescent="0.25">
      <c r="A45" s="3">
        <v>44</v>
      </c>
      <c r="B45" s="3" t="s">
        <v>112</v>
      </c>
      <c r="C45" s="3" t="s">
        <v>216</v>
      </c>
      <c r="D45" s="3" t="s">
        <v>217</v>
      </c>
      <c r="E45" s="3" t="s">
        <v>169</v>
      </c>
      <c r="F45" s="3" t="s">
        <v>215</v>
      </c>
      <c r="G45" s="3" t="s">
        <v>198</v>
      </c>
      <c r="H45" s="3" t="s">
        <v>118</v>
      </c>
      <c r="I45" s="3" t="s">
        <v>119</v>
      </c>
      <c r="J45" s="3" t="s">
        <v>120</v>
      </c>
      <c r="K45" s="3" t="s">
        <v>121</v>
      </c>
      <c r="L45" s="3">
        <v>2022</v>
      </c>
      <c r="M45" s="3" t="s">
        <v>122</v>
      </c>
      <c r="N45" s="16">
        <v>44604</v>
      </c>
      <c r="O45" s="16">
        <v>44604</v>
      </c>
      <c r="P45" s="3">
        <v>4</v>
      </c>
      <c r="Q45" s="3"/>
    </row>
    <row r="46" spans="1:17" x14ac:dyDescent="0.25">
      <c r="A46" s="3">
        <v>45</v>
      </c>
      <c r="B46" s="3" t="s">
        <v>112</v>
      </c>
      <c r="C46" s="3" t="s">
        <v>218</v>
      </c>
      <c r="D46" s="3" t="s">
        <v>219</v>
      </c>
      <c r="E46" s="3" t="s">
        <v>164</v>
      </c>
      <c r="F46" s="3" t="s">
        <v>215</v>
      </c>
      <c r="G46" s="3" t="s">
        <v>198</v>
      </c>
      <c r="H46" s="3" t="s">
        <v>118</v>
      </c>
      <c r="I46" s="3" t="s">
        <v>119</v>
      </c>
      <c r="J46" s="3" t="s">
        <v>120</v>
      </c>
      <c r="K46" s="3" t="s">
        <v>121</v>
      </c>
      <c r="L46" s="3">
        <v>2022</v>
      </c>
      <c r="M46" s="3" t="s">
        <v>122</v>
      </c>
      <c r="N46" s="16">
        <v>44604</v>
      </c>
      <c r="O46" s="16">
        <v>44604</v>
      </c>
      <c r="P46" s="3">
        <v>4</v>
      </c>
      <c r="Q46" s="3"/>
    </row>
    <row r="47" spans="1:17" x14ac:dyDescent="0.25">
      <c r="A47" s="3">
        <v>46</v>
      </c>
      <c r="B47" s="3" t="s">
        <v>112</v>
      </c>
      <c r="C47" s="3" t="s">
        <v>220</v>
      </c>
      <c r="D47" s="3" t="s">
        <v>221</v>
      </c>
      <c r="E47" s="3" t="s">
        <v>169</v>
      </c>
      <c r="F47" s="3" t="s">
        <v>215</v>
      </c>
      <c r="G47" s="3" t="s">
        <v>198</v>
      </c>
      <c r="H47" s="3" t="s">
        <v>118</v>
      </c>
      <c r="I47" s="3" t="s">
        <v>119</v>
      </c>
      <c r="J47" s="3" t="s">
        <v>120</v>
      </c>
      <c r="K47" s="3" t="s">
        <v>121</v>
      </c>
      <c r="L47" s="3">
        <v>2022</v>
      </c>
      <c r="M47" s="3" t="s">
        <v>122</v>
      </c>
      <c r="N47" s="16">
        <v>44604</v>
      </c>
      <c r="O47" s="16">
        <v>44604</v>
      </c>
      <c r="P47" s="3">
        <v>4</v>
      </c>
      <c r="Q47" s="3"/>
    </row>
    <row r="48" spans="1:17" x14ac:dyDescent="0.25">
      <c r="A48" s="3">
        <v>47</v>
      </c>
      <c r="B48" s="3" t="s">
        <v>112</v>
      </c>
      <c r="C48" s="3" t="s">
        <v>222</v>
      </c>
      <c r="D48" s="3" t="s">
        <v>223</v>
      </c>
      <c r="E48" s="3" t="s">
        <v>169</v>
      </c>
      <c r="F48" s="3" t="s">
        <v>215</v>
      </c>
      <c r="G48" s="3" t="s">
        <v>198</v>
      </c>
      <c r="H48" s="3" t="s">
        <v>118</v>
      </c>
      <c r="I48" s="3" t="s">
        <v>119</v>
      </c>
      <c r="J48" s="3" t="s">
        <v>120</v>
      </c>
      <c r="K48" s="3" t="s">
        <v>121</v>
      </c>
      <c r="L48" s="3">
        <v>2022</v>
      </c>
      <c r="M48" s="3" t="s">
        <v>122</v>
      </c>
      <c r="N48" s="16">
        <v>44604</v>
      </c>
      <c r="O48" s="16">
        <v>44604</v>
      </c>
      <c r="P48" s="3">
        <v>4</v>
      </c>
      <c r="Q48" s="3"/>
    </row>
    <row r="49" spans="1:17" x14ac:dyDescent="0.25">
      <c r="A49" s="3">
        <v>48</v>
      </c>
      <c r="B49" s="3" t="s">
        <v>112</v>
      </c>
      <c r="C49" s="3" t="s">
        <v>224</v>
      </c>
      <c r="D49" s="3" t="s">
        <v>225</v>
      </c>
      <c r="E49" s="3" t="s">
        <v>169</v>
      </c>
      <c r="F49" s="3" t="s">
        <v>215</v>
      </c>
      <c r="G49" s="3" t="s">
        <v>198</v>
      </c>
      <c r="H49" s="3" t="s">
        <v>118</v>
      </c>
      <c r="I49" s="3" t="s">
        <v>119</v>
      </c>
      <c r="J49" s="3" t="s">
        <v>120</v>
      </c>
      <c r="K49" s="3" t="s">
        <v>121</v>
      </c>
      <c r="L49" s="3">
        <v>2022</v>
      </c>
      <c r="M49" s="3" t="s">
        <v>122</v>
      </c>
      <c r="N49" s="16">
        <v>44604</v>
      </c>
      <c r="O49" s="16">
        <v>44604</v>
      </c>
      <c r="P49" s="3">
        <v>4</v>
      </c>
      <c r="Q49" s="3"/>
    </row>
    <row r="50" spans="1:17" x14ac:dyDescent="0.25">
      <c r="A50" s="3">
        <v>49</v>
      </c>
      <c r="B50" s="3" t="s">
        <v>112</v>
      </c>
      <c r="C50" s="3" t="s">
        <v>226</v>
      </c>
      <c r="D50" s="3" t="s">
        <v>227</v>
      </c>
      <c r="E50" s="3" t="s">
        <v>169</v>
      </c>
      <c r="F50" s="3" t="s">
        <v>215</v>
      </c>
      <c r="G50" s="3" t="s">
        <v>198</v>
      </c>
      <c r="H50" s="3" t="s">
        <v>118</v>
      </c>
      <c r="I50" s="3" t="s">
        <v>119</v>
      </c>
      <c r="J50" s="3" t="s">
        <v>120</v>
      </c>
      <c r="K50" s="3" t="s">
        <v>121</v>
      </c>
      <c r="L50" s="3">
        <v>2022</v>
      </c>
      <c r="M50" s="3" t="s">
        <v>122</v>
      </c>
      <c r="N50" s="16">
        <v>44604</v>
      </c>
      <c r="O50" s="16">
        <v>44604</v>
      </c>
      <c r="P50" s="3">
        <v>4</v>
      </c>
      <c r="Q50" s="3"/>
    </row>
    <row r="51" spans="1:17" x14ac:dyDescent="0.25">
      <c r="A51" s="3">
        <v>50</v>
      </c>
      <c r="B51" s="3" t="s">
        <v>112</v>
      </c>
      <c r="C51" s="3" t="s">
        <v>228</v>
      </c>
      <c r="D51" s="3" t="s">
        <v>229</v>
      </c>
      <c r="E51" s="3" t="s">
        <v>169</v>
      </c>
      <c r="F51" s="3" t="s">
        <v>215</v>
      </c>
      <c r="G51" s="3" t="s">
        <v>198</v>
      </c>
      <c r="H51" s="3" t="s">
        <v>118</v>
      </c>
      <c r="I51" s="3" t="s">
        <v>119</v>
      </c>
      <c r="J51" s="3" t="s">
        <v>120</v>
      </c>
      <c r="K51" s="3" t="s">
        <v>121</v>
      </c>
      <c r="L51" s="3">
        <v>2022</v>
      </c>
      <c r="M51" s="3" t="s">
        <v>122</v>
      </c>
      <c r="N51" s="16">
        <v>44604</v>
      </c>
      <c r="O51" s="16">
        <v>44604</v>
      </c>
      <c r="P51" s="3">
        <v>4</v>
      </c>
      <c r="Q51" s="3"/>
    </row>
    <row r="52" spans="1:17" x14ac:dyDescent="0.25">
      <c r="A52" s="3">
        <v>51</v>
      </c>
      <c r="B52" s="3" t="s">
        <v>112</v>
      </c>
      <c r="C52" s="3" t="s">
        <v>230</v>
      </c>
      <c r="D52" s="3" t="s">
        <v>231</v>
      </c>
      <c r="E52" s="3" t="s">
        <v>169</v>
      </c>
      <c r="F52" s="3" t="s">
        <v>215</v>
      </c>
      <c r="G52" s="3" t="s">
        <v>198</v>
      </c>
      <c r="H52" s="3" t="s">
        <v>118</v>
      </c>
      <c r="I52" s="3" t="s">
        <v>119</v>
      </c>
      <c r="J52" s="3" t="s">
        <v>120</v>
      </c>
      <c r="K52" s="3" t="s">
        <v>121</v>
      </c>
      <c r="L52" s="3">
        <v>2022</v>
      </c>
      <c r="M52" s="3" t="s">
        <v>122</v>
      </c>
      <c r="N52" s="16">
        <v>44604</v>
      </c>
      <c r="O52" s="16">
        <v>44604</v>
      </c>
      <c r="P52" s="3">
        <v>4</v>
      </c>
      <c r="Q52" s="3"/>
    </row>
    <row r="53" spans="1:17" x14ac:dyDescent="0.25">
      <c r="A53" s="3">
        <v>52</v>
      </c>
      <c r="B53" s="3" t="s">
        <v>112</v>
      </c>
      <c r="C53" s="3" t="s">
        <v>232</v>
      </c>
      <c r="D53" s="3" t="s">
        <v>233</v>
      </c>
      <c r="E53" s="3" t="s">
        <v>169</v>
      </c>
      <c r="F53" s="3" t="s">
        <v>215</v>
      </c>
      <c r="G53" s="3" t="s">
        <v>198</v>
      </c>
      <c r="H53" s="3" t="s">
        <v>118</v>
      </c>
      <c r="I53" s="3" t="s">
        <v>119</v>
      </c>
      <c r="J53" s="3" t="s">
        <v>120</v>
      </c>
      <c r="K53" s="3" t="s">
        <v>121</v>
      </c>
      <c r="L53" s="3">
        <v>2022</v>
      </c>
      <c r="M53" s="3" t="s">
        <v>122</v>
      </c>
      <c r="N53" s="16">
        <v>44604</v>
      </c>
      <c r="O53" s="16">
        <v>44604</v>
      </c>
      <c r="P53" s="3">
        <v>4</v>
      </c>
      <c r="Q53" s="3"/>
    </row>
    <row r="54" spans="1:17" x14ac:dyDescent="0.25">
      <c r="A54" s="3">
        <v>53</v>
      </c>
      <c r="B54" s="3" t="s">
        <v>112</v>
      </c>
      <c r="C54" s="3" t="s">
        <v>234</v>
      </c>
      <c r="D54" s="3" t="s">
        <v>235</v>
      </c>
      <c r="E54" s="3" t="s">
        <v>164</v>
      </c>
      <c r="F54" s="3" t="s">
        <v>215</v>
      </c>
      <c r="G54" s="3" t="s">
        <v>198</v>
      </c>
      <c r="H54" s="3" t="s">
        <v>118</v>
      </c>
      <c r="I54" s="3" t="s">
        <v>119</v>
      </c>
      <c r="J54" s="3" t="s">
        <v>120</v>
      </c>
      <c r="K54" s="3" t="s">
        <v>121</v>
      </c>
      <c r="L54" s="3">
        <v>2022</v>
      </c>
      <c r="M54" s="3" t="s">
        <v>122</v>
      </c>
      <c r="N54" s="16">
        <v>44604</v>
      </c>
      <c r="O54" s="16">
        <v>44604</v>
      </c>
      <c r="P54" s="3">
        <v>4</v>
      </c>
      <c r="Q54" s="3"/>
    </row>
    <row r="55" spans="1:17" x14ac:dyDescent="0.25">
      <c r="A55" s="3">
        <v>54</v>
      </c>
      <c r="B55" s="3" t="s">
        <v>112</v>
      </c>
      <c r="C55" s="3" t="s">
        <v>236</v>
      </c>
      <c r="D55" s="3" t="s">
        <v>237</v>
      </c>
      <c r="E55" s="3" t="s">
        <v>169</v>
      </c>
      <c r="F55" s="3" t="s">
        <v>238</v>
      </c>
      <c r="G55" s="3" t="s">
        <v>198</v>
      </c>
      <c r="H55" s="3" t="s">
        <v>118</v>
      </c>
      <c r="I55" s="3" t="s">
        <v>119</v>
      </c>
      <c r="J55" s="3" t="s">
        <v>120</v>
      </c>
      <c r="K55" s="3" t="s">
        <v>121</v>
      </c>
      <c r="L55" s="3">
        <v>2022</v>
      </c>
      <c r="M55" s="3" t="s">
        <v>122</v>
      </c>
      <c r="N55" s="16">
        <v>44604</v>
      </c>
      <c r="O55" s="16">
        <v>44604</v>
      </c>
      <c r="P55" s="3">
        <v>4</v>
      </c>
      <c r="Q55" s="3"/>
    </row>
    <row r="56" spans="1:17" x14ac:dyDescent="0.25">
      <c r="A56" s="3">
        <v>55</v>
      </c>
      <c r="B56" s="3" t="s">
        <v>112</v>
      </c>
      <c r="C56" s="3" t="s">
        <v>239</v>
      </c>
      <c r="D56" s="3" t="s">
        <v>240</v>
      </c>
      <c r="E56" s="3" t="s">
        <v>169</v>
      </c>
      <c r="F56" s="3" t="s">
        <v>238</v>
      </c>
      <c r="G56" s="3" t="s">
        <v>198</v>
      </c>
      <c r="H56" s="3" t="s">
        <v>118</v>
      </c>
      <c r="I56" s="3" t="s">
        <v>119</v>
      </c>
      <c r="J56" s="3" t="s">
        <v>120</v>
      </c>
      <c r="K56" s="3" t="s">
        <v>121</v>
      </c>
      <c r="L56" s="3">
        <v>2022</v>
      </c>
      <c r="M56" s="3" t="s">
        <v>122</v>
      </c>
      <c r="N56" s="16">
        <v>44604</v>
      </c>
      <c r="O56" s="16">
        <v>44604</v>
      </c>
      <c r="P56" s="3">
        <v>4</v>
      </c>
      <c r="Q56" s="3"/>
    </row>
    <row r="57" spans="1:17" x14ac:dyDescent="0.25">
      <c r="A57" s="3">
        <v>56</v>
      </c>
      <c r="B57" s="3" t="s">
        <v>112</v>
      </c>
      <c r="C57" s="3" t="s">
        <v>241</v>
      </c>
      <c r="D57" s="3" t="s">
        <v>242</v>
      </c>
      <c r="E57" s="3" t="s">
        <v>164</v>
      </c>
      <c r="F57" s="3" t="s">
        <v>238</v>
      </c>
      <c r="G57" s="3" t="s">
        <v>198</v>
      </c>
      <c r="H57" s="3" t="s">
        <v>118</v>
      </c>
      <c r="I57" s="3" t="s">
        <v>119</v>
      </c>
      <c r="J57" s="3" t="s">
        <v>120</v>
      </c>
      <c r="K57" s="3" t="s">
        <v>121</v>
      </c>
      <c r="L57" s="3">
        <v>2022</v>
      </c>
      <c r="M57" s="3" t="s">
        <v>122</v>
      </c>
      <c r="N57" s="16">
        <v>44604</v>
      </c>
      <c r="O57" s="16">
        <v>44604</v>
      </c>
      <c r="P57" s="3">
        <v>4</v>
      </c>
      <c r="Q57" s="3"/>
    </row>
    <row r="58" spans="1:17" x14ac:dyDescent="0.25">
      <c r="A58" s="3">
        <v>57</v>
      </c>
      <c r="B58" s="3" t="s">
        <v>112</v>
      </c>
      <c r="C58" s="3" t="s">
        <v>243</v>
      </c>
      <c r="D58" s="3" t="s">
        <v>244</v>
      </c>
      <c r="E58" s="3" t="s">
        <v>164</v>
      </c>
      <c r="F58" s="3" t="s">
        <v>238</v>
      </c>
      <c r="G58" s="3" t="s">
        <v>198</v>
      </c>
      <c r="H58" s="3" t="s">
        <v>118</v>
      </c>
      <c r="I58" s="3" t="s">
        <v>119</v>
      </c>
      <c r="J58" s="3" t="s">
        <v>120</v>
      </c>
      <c r="K58" s="3" t="s">
        <v>121</v>
      </c>
      <c r="L58" s="3">
        <v>2022</v>
      </c>
      <c r="M58" s="3" t="s">
        <v>122</v>
      </c>
      <c r="N58" s="16">
        <v>44604</v>
      </c>
      <c r="O58" s="16">
        <v>44604</v>
      </c>
      <c r="P58" s="3">
        <v>4</v>
      </c>
      <c r="Q58" s="3"/>
    </row>
    <row r="59" spans="1:17" x14ac:dyDescent="0.25">
      <c r="A59" s="3">
        <v>58</v>
      </c>
      <c r="B59" s="3" t="s">
        <v>112</v>
      </c>
      <c r="C59" s="3" t="s">
        <v>245</v>
      </c>
      <c r="D59" s="3" t="s">
        <v>246</v>
      </c>
      <c r="E59" s="3" t="s">
        <v>164</v>
      </c>
      <c r="F59" s="3" t="s">
        <v>238</v>
      </c>
      <c r="G59" s="3" t="s">
        <v>198</v>
      </c>
      <c r="H59" s="3" t="s">
        <v>118</v>
      </c>
      <c r="I59" s="3" t="s">
        <v>119</v>
      </c>
      <c r="J59" s="3" t="s">
        <v>120</v>
      </c>
      <c r="K59" s="3" t="s">
        <v>121</v>
      </c>
      <c r="L59" s="3">
        <v>2022</v>
      </c>
      <c r="M59" s="3" t="s">
        <v>122</v>
      </c>
      <c r="N59" s="16">
        <v>44604</v>
      </c>
      <c r="O59" s="16">
        <v>44604</v>
      </c>
      <c r="P59" s="3">
        <v>4</v>
      </c>
      <c r="Q59" s="3"/>
    </row>
    <row r="60" spans="1:17" x14ac:dyDescent="0.25">
      <c r="A60" s="3">
        <v>59</v>
      </c>
      <c r="B60" s="3" t="s">
        <v>112</v>
      </c>
      <c r="C60" s="3" t="s">
        <v>247</v>
      </c>
      <c r="D60" s="3" t="s">
        <v>248</v>
      </c>
      <c r="E60" s="3" t="s">
        <v>169</v>
      </c>
      <c r="F60" s="3" t="s">
        <v>238</v>
      </c>
      <c r="G60" s="3" t="s">
        <v>198</v>
      </c>
      <c r="H60" s="3" t="s">
        <v>118</v>
      </c>
      <c r="I60" s="3" t="s">
        <v>119</v>
      </c>
      <c r="J60" s="3" t="s">
        <v>120</v>
      </c>
      <c r="K60" s="3" t="s">
        <v>121</v>
      </c>
      <c r="L60" s="3">
        <v>2022</v>
      </c>
      <c r="M60" s="3" t="s">
        <v>122</v>
      </c>
      <c r="N60" s="16">
        <v>44604</v>
      </c>
      <c r="O60" s="16">
        <v>44604</v>
      </c>
      <c r="P60" s="3">
        <v>4</v>
      </c>
      <c r="Q60" s="3"/>
    </row>
    <row r="61" spans="1:17" x14ac:dyDescent="0.25">
      <c r="A61" s="3">
        <v>60</v>
      </c>
      <c r="B61" s="3" t="s">
        <v>112</v>
      </c>
      <c r="C61" s="3" t="s">
        <v>249</v>
      </c>
      <c r="D61" s="3" t="s">
        <v>250</v>
      </c>
      <c r="E61" s="3" t="s">
        <v>169</v>
      </c>
      <c r="F61" s="3" t="s">
        <v>238</v>
      </c>
      <c r="G61" s="3" t="s">
        <v>198</v>
      </c>
      <c r="H61" s="3" t="s">
        <v>118</v>
      </c>
      <c r="I61" s="3" t="s">
        <v>119</v>
      </c>
      <c r="J61" s="3" t="s">
        <v>120</v>
      </c>
      <c r="K61" s="3" t="s">
        <v>121</v>
      </c>
      <c r="L61" s="3">
        <v>2022</v>
      </c>
      <c r="M61" s="3" t="s">
        <v>122</v>
      </c>
      <c r="N61" s="16">
        <v>44604</v>
      </c>
      <c r="O61" s="16">
        <v>44604</v>
      </c>
      <c r="P61" s="3">
        <v>4</v>
      </c>
      <c r="Q61" s="3"/>
    </row>
    <row r="62" spans="1:17" x14ac:dyDescent="0.25">
      <c r="A62" s="3">
        <v>61</v>
      </c>
      <c r="B62" s="3" t="s">
        <v>112</v>
      </c>
      <c r="C62" s="3" t="s">
        <v>251</v>
      </c>
      <c r="D62" s="3" t="s">
        <v>252</v>
      </c>
      <c r="E62" s="3" t="s">
        <v>169</v>
      </c>
      <c r="F62" s="3" t="s">
        <v>238</v>
      </c>
      <c r="G62" s="3" t="s">
        <v>198</v>
      </c>
      <c r="H62" s="3" t="s">
        <v>118</v>
      </c>
      <c r="I62" s="3" t="s">
        <v>119</v>
      </c>
      <c r="J62" s="3" t="s">
        <v>120</v>
      </c>
      <c r="K62" s="3" t="s">
        <v>121</v>
      </c>
      <c r="L62" s="3">
        <v>2022</v>
      </c>
      <c r="M62" s="3" t="s">
        <v>122</v>
      </c>
      <c r="N62" s="16">
        <v>44604</v>
      </c>
      <c r="O62" s="16">
        <v>44604</v>
      </c>
      <c r="P62" s="3">
        <v>4</v>
      </c>
      <c r="Q62" s="3"/>
    </row>
    <row r="63" spans="1:17" x14ac:dyDescent="0.25">
      <c r="A63" s="3">
        <v>62</v>
      </c>
      <c r="B63" s="3" t="s">
        <v>112</v>
      </c>
      <c r="C63" s="3" t="s">
        <v>253</v>
      </c>
      <c r="D63" s="3" t="s">
        <v>254</v>
      </c>
      <c r="E63" s="3" t="s">
        <v>164</v>
      </c>
      <c r="F63" s="3" t="s">
        <v>238</v>
      </c>
      <c r="G63" s="3" t="s">
        <v>198</v>
      </c>
      <c r="H63" s="3" t="s">
        <v>118</v>
      </c>
      <c r="I63" s="3" t="s">
        <v>119</v>
      </c>
      <c r="J63" s="3" t="s">
        <v>120</v>
      </c>
      <c r="K63" s="3" t="s">
        <v>121</v>
      </c>
      <c r="L63" s="3">
        <v>2022</v>
      </c>
      <c r="M63" s="3" t="s">
        <v>122</v>
      </c>
      <c r="N63" s="16">
        <v>44604</v>
      </c>
      <c r="O63" s="16">
        <v>44604</v>
      </c>
      <c r="P63" s="3">
        <v>4</v>
      </c>
      <c r="Q63" s="3"/>
    </row>
    <row r="64" spans="1:17" x14ac:dyDescent="0.25">
      <c r="A64" s="3">
        <v>63</v>
      </c>
      <c r="B64" s="3" t="s">
        <v>112</v>
      </c>
      <c r="C64" s="3" t="s">
        <v>255</v>
      </c>
      <c r="D64" s="3" t="s">
        <v>256</v>
      </c>
      <c r="E64" s="3" t="s">
        <v>169</v>
      </c>
      <c r="F64" s="3" t="s">
        <v>257</v>
      </c>
      <c r="G64" s="3" t="s">
        <v>198</v>
      </c>
      <c r="H64" s="3" t="s">
        <v>118</v>
      </c>
      <c r="I64" s="3" t="s">
        <v>119</v>
      </c>
      <c r="J64" s="3" t="s">
        <v>120</v>
      </c>
      <c r="K64" s="3" t="s">
        <v>121</v>
      </c>
      <c r="L64" s="3">
        <v>2022</v>
      </c>
      <c r="M64" s="3" t="s">
        <v>122</v>
      </c>
      <c r="N64" s="16">
        <v>44604</v>
      </c>
      <c r="O64" s="16">
        <v>44604</v>
      </c>
      <c r="P64" s="3">
        <v>4</v>
      </c>
      <c r="Q64" s="3"/>
    </row>
    <row r="65" spans="1:17" x14ac:dyDescent="0.25">
      <c r="A65" s="3">
        <v>64</v>
      </c>
      <c r="B65" s="3" t="s">
        <v>112</v>
      </c>
      <c r="C65" s="3" t="s">
        <v>258</v>
      </c>
      <c r="D65" s="3" t="s">
        <v>259</v>
      </c>
      <c r="E65" s="3" t="s">
        <v>169</v>
      </c>
      <c r="F65" s="3" t="s">
        <v>257</v>
      </c>
      <c r="G65" s="3" t="s">
        <v>198</v>
      </c>
      <c r="H65" s="3" t="s">
        <v>118</v>
      </c>
      <c r="I65" s="3" t="s">
        <v>119</v>
      </c>
      <c r="J65" s="3" t="s">
        <v>120</v>
      </c>
      <c r="K65" s="3" t="s">
        <v>121</v>
      </c>
      <c r="L65" s="3">
        <v>2022</v>
      </c>
      <c r="M65" s="3" t="s">
        <v>122</v>
      </c>
      <c r="N65" s="16">
        <v>44604</v>
      </c>
      <c r="O65" s="16">
        <v>44604</v>
      </c>
      <c r="P65" s="3">
        <v>4</v>
      </c>
      <c r="Q65" s="3"/>
    </row>
    <row r="66" spans="1:17" x14ac:dyDescent="0.25">
      <c r="A66" s="3">
        <v>65</v>
      </c>
      <c r="B66" s="3" t="s">
        <v>112</v>
      </c>
      <c r="C66" s="3" t="s">
        <v>260</v>
      </c>
      <c r="D66" s="3" t="s">
        <v>261</v>
      </c>
      <c r="E66" s="3" t="s">
        <v>169</v>
      </c>
      <c r="F66" s="3" t="s">
        <v>257</v>
      </c>
      <c r="G66" s="3" t="s">
        <v>198</v>
      </c>
      <c r="H66" s="3" t="s">
        <v>118</v>
      </c>
      <c r="I66" s="3" t="s">
        <v>119</v>
      </c>
      <c r="J66" s="3" t="s">
        <v>120</v>
      </c>
      <c r="K66" s="3" t="s">
        <v>121</v>
      </c>
      <c r="L66" s="3">
        <v>2022</v>
      </c>
      <c r="M66" s="3" t="s">
        <v>122</v>
      </c>
      <c r="N66" s="16">
        <v>44604</v>
      </c>
      <c r="O66" s="16">
        <v>44604</v>
      </c>
      <c r="P66" s="3">
        <v>4</v>
      </c>
      <c r="Q66" s="3"/>
    </row>
    <row r="67" spans="1:17" x14ac:dyDescent="0.25">
      <c r="A67" s="3">
        <v>66</v>
      </c>
      <c r="B67" s="3" t="s">
        <v>112</v>
      </c>
      <c r="C67" s="3" t="s">
        <v>262</v>
      </c>
      <c r="D67" s="3" t="s">
        <v>263</v>
      </c>
      <c r="E67" s="3" t="s">
        <v>169</v>
      </c>
      <c r="F67" s="3" t="s">
        <v>257</v>
      </c>
      <c r="G67" s="3" t="s">
        <v>198</v>
      </c>
      <c r="H67" s="3" t="s">
        <v>118</v>
      </c>
      <c r="I67" s="3" t="s">
        <v>119</v>
      </c>
      <c r="J67" s="3" t="s">
        <v>120</v>
      </c>
      <c r="K67" s="3" t="s">
        <v>121</v>
      </c>
      <c r="L67" s="3">
        <v>2022</v>
      </c>
      <c r="M67" s="3" t="s">
        <v>122</v>
      </c>
      <c r="N67" s="16">
        <v>44604</v>
      </c>
      <c r="O67" s="16">
        <v>44604</v>
      </c>
      <c r="P67" s="3">
        <v>4</v>
      </c>
      <c r="Q67" s="3"/>
    </row>
    <row r="68" spans="1:17" x14ac:dyDescent="0.25">
      <c r="A68" s="3">
        <v>67</v>
      </c>
      <c r="B68" s="3" t="s">
        <v>112</v>
      </c>
      <c r="C68" s="3" t="s">
        <v>264</v>
      </c>
      <c r="D68" s="3" t="s">
        <v>265</v>
      </c>
      <c r="E68" s="3" t="s">
        <v>169</v>
      </c>
      <c r="F68" s="3" t="s">
        <v>257</v>
      </c>
      <c r="G68" s="3" t="s">
        <v>198</v>
      </c>
      <c r="H68" s="3" t="s">
        <v>118</v>
      </c>
      <c r="I68" s="3" t="s">
        <v>119</v>
      </c>
      <c r="J68" s="3" t="s">
        <v>120</v>
      </c>
      <c r="K68" s="3" t="s">
        <v>121</v>
      </c>
      <c r="L68" s="3">
        <v>2022</v>
      </c>
      <c r="M68" s="3" t="s">
        <v>122</v>
      </c>
      <c r="N68" s="16">
        <v>44604</v>
      </c>
      <c r="O68" s="16">
        <v>44604</v>
      </c>
      <c r="P68" s="3">
        <v>4</v>
      </c>
      <c r="Q68" s="3"/>
    </row>
    <row r="69" spans="1:17" x14ac:dyDescent="0.25">
      <c r="A69" s="3">
        <v>68</v>
      </c>
      <c r="B69" s="3" t="s">
        <v>112</v>
      </c>
      <c r="C69" s="3" t="s">
        <v>266</v>
      </c>
      <c r="D69" s="3" t="s">
        <v>267</v>
      </c>
      <c r="E69" s="3" t="s">
        <v>169</v>
      </c>
      <c r="F69" s="3" t="s">
        <v>257</v>
      </c>
      <c r="G69" s="3" t="s">
        <v>198</v>
      </c>
      <c r="H69" s="3" t="s">
        <v>118</v>
      </c>
      <c r="I69" s="3" t="s">
        <v>119</v>
      </c>
      <c r="J69" s="3" t="s">
        <v>120</v>
      </c>
      <c r="K69" s="3" t="s">
        <v>121</v>
      </c>
      <c r="L69" s="3">
        <v>2022</v>
      </c>
      <c r="M69" s="3" t="s">
        <v>122</v>
      </c>
      <c r="N69" s="16">
        <v>44604</v>
      </c>
      <c r="O69" s="16">
        <v>44604</v>
      </c>
      <c r="P69" s="3">
        <v>4</v>
      </c>
      <c r="Q69" s="3"/>
    </row>
    <row r="70" spans="1:17" x14ac:dyDescent="0.25">
      <c r="A70" s="3">
        <v>69</v>
      </c>
      <c r="B70" s="3" t="s">
        <v>112</v>
      </c>
      <c r="C70" s="3" t="s">
        <v>268</v>
      </c>
      <c r="D70" s="3" t="s">
        <v>269</v>
      </c>
      <c r="E70" s="3" t="s">
        <v>169</v>
      </c>
      <c r="F70" s="3" t="s">
        <v>270</v>
      </c>
      <c r="G70" s="3" t="s">
        <v>271</v>
      </c>
      <c r="H70" s="3" t="s">
        <v>118</v>
      </c>
      <c r="I70" s="3" t="s">
        <v>119</v>
      </c>
      <c r="J70" s="3" t="s">
        <v>120</v>
      </c>
      <c r="K70" s="3" t="s">
        <v>121</v>
      </c>
      <c r="L70" s="3">
        <v>2022</v>
      </c>
      <c r="M70" s="3" t="s">
        <v>122</v>
      </c>
      <c r="N70" s="16">
        <v>44604</v>
      </c>
      <c r="O70" s="16">
        <v>44604</v>
      </c>
      <c r="P70" s="3">
        <v>4</v>
      </c>
      <c r="Q70" s="3"/>
    </row>
    <row r="71" spans="1:17" x14ac:dyDescent="0.25">
      <c r="A71" s="3">
        <v>70</v>
      </c>
      <c r="B71" s="3" t="s">
        <v>112</v>
      </c>
      <c r="C71" s="3" t="s">
        <v>272</v>
      </c>
      <c r="D71" s="3" t="s">
        <v>273</v>
      </c>
      <c r="E71" s="3" t="s">
        <v>169</v>
      </c>
      <c r="F71" s="3" t="s">
        <v>270</v>
      </c>
      <c r="G71" s="3" t="s">
        <v>271</v>
      </c>
      <c r="H71" s="3" t="s">
        <v>118</v>
      </c>
      <c r="I71" s="3" t="s">
        <v>119</v>
      </c>
      <c r="J71" s="3" t="s">
        <v>120</v>
      </c>
      <c r="K71" s="3" t="s">
        <v>121</v>
      </c>
      <c r="L71" s="3">
        <v>2022</v>
      </c>
      <c r="M71" s="3" t="s">
        <v>122</v>
      </c>
      <c r="N71" s="16">
        <v>44604</v>
      </c>
      <c r="O71" s="16">
        <v>44604</v>
      </c>
      <c r="P71" s="3">
        <v>4</v>
      </c>
      <c r="Q71" s="3"/>
    </row>
    <row r="72" spans="1:17" x14ac:dyDescent="0.25">
      <c r="A72" s="3">
        <v>71</v>
      </c>
      <c r="B72" s="3" t="s">
        <v>112</v>
      </c>
      <c r="C72" s="3" t="s">
        <v>274</v>
      </c>
      <c r="D72" s="3" t="s">
        <v>275</v>
      </c>
      <c r="E72" s="3" t="s">
        <v>169</v>
      </c>
      <c r="F72" s="3" t="s">
        <v>270</v>
      </c>
      <c r="G72" s="3" t="s">
        <v>271</v>
      </c>
      <c r="H72" s="3" t="s">
        <v>118</v>
      </c>
      <c r="I72" s="3" t="s">
        <v>119</v>
      </c>
      <c r="J72" s="3" t="s">
        <v>120</v>
      </c>
      <c r="K72" s="3" t="s">
        <v>121</v>
      </c>
      <c r="L72" s="3">
        <v>2022</v>
      </c>
      <c r="M72" s="3" t="s">
        <v>122</v>
      </c>
      <c r="N72" s="16">
        <v>44604</v>
      </c>
      <c r="O72" s="16">
        <v>44604</v>
      </c>
      <c r="P72" s="3">
        <v>4</v>
      </c>
      <c r="Q72" s="3"/>
    </row>
    <row r="73" spans="1:17" x14ac:dyDescent="0.25">
      <c r="A73" s="3">
        <v>72</v>
      </c>
      <c r="B73" s="3" t="s">
        <v>112</v>
      </c>
      <c r="C73" s="3" t="s">
        <v>276</v>
      </c>
      <c r="D73" s="3" t="s">
        <v>277</v>
      </c>
      <c r="E73" s="3" t="s">
        <v>169</v>
      </c>
      <c r="F73" s="3" t="s">
        <v>270</v>
      </c>
      <c r="G73" s="3" t="s">
        <v>271</v>
      </c>
      <c r="H73" s="3" t="s">
        <v>118</v>
      </c>
      <c r="I73" s="3" t="s">
        <v>119</v>
      </c>
      <c r="J73" s="3" t="s">
        <v>120</v>
      </c>
      <c r="K73" s="3" t="s">
        <v>121</v>
      </c>
      <c r="L73" s="3">
        <v>2022</v>
      </c>
      <c r="M73" s="3" t="s">
        <v>122</v>
      </c>
      <c r="N73" s="16">
        <v>44604</v>
      </c>
      <c r="O73" s="16">
        <v>44604</v>
      </c>
      <c r="P73" s="3">
        <v>4</v>
      </c>
      <c r="Q73" s="3"/>
    </row>
    <row r="74" spans="1:17" x14ac:dyDescent="0.25">
      <c r="A74" s="3">
        <v>73</v>
      </c>
      <c r="B74" s="3" t="s">
        <v>112</v>
      </c>
      <c r="C74" s="3" t="s">
        <v>278</v>
      </c>
      <c r="D74" s="3" t="s">
        <v>279</v>
      </c>
      <c r="E74" s="3" t="s">
        <v>169</v>
      </c>
      <c r="F74" s="3" t="s">
        <v>270</v>
      </c>
      <c r="G74" s="3" t="s">
        <v>271</v>
      </c>
      <c r="H74" s="3" t="s">
        <v>118</v>
      </c>
      <c r="I74" s="3" t="s">
        <v>119</v>
      </c>
      <c r="J74" s="3" t="s">
        <v>120</v>
      </c>
      <c r="K74" s="3" t="s">
        <v>121</v>
      </c>
      <c r="L74" s="3">
        <v>2022</v>
      </c>
      <c r="M74" s="3" t="s">
        <v>122</v>
      </c>
      <c r="N74" s="16">
        <v>44604</v>
      </c>
      <c r="O74" s="16">
        <v>44604</v>
      </c>
      <c r="P74" s="3">
        <v>4</v>
      </c>
      <c r="Q74" s="3"/>
    </row>
    <row r="75" spans="1:17" x14ac:dyDescent="0.25">
      <c r="A75" s="3">
        <v>74</v>
      </c>
      <c r="B75" s="3" t="s">
        <v>112</v>
      </c>
      <c r="C75" s="3" t="s">
        <v>280</v>
      </c>
      <c r="D75" s="3" t="s">
        <v>281</v>
      </c>
      <c r="E75" s="3" t="s">
        <v>169</v>
      </c>
      <c r="F75" s="3" t="s">
        <v>270</v>
      </c>
      <c r="G75" s="3" t="s">
        <v>271</v>
      </c>
      <c r="H75" s="3" t="s">
        <v>118</v>
      </c>
      <c r="I75" s="3" t="s">
        <v>119</v>
      </c>
      <c r="J75" s="3" t="s">
        <v>120</v>
      </c>
      <c r="K75" s="3" t="s">
        <v>121</v>
      </c>
      <c r="L75" s="3">
        <v>2022</v>
      </c>
      <c r="M75" s="3" t="s">
        <v>122</v>
      </c>
      <c r="N75" s="16">
        <v>44604</v>
      </c>
      <c r="O75" s="16">
        <v>44604</v>
      </c>
      <c r="P75" s="3">
        <v>4</v>
      </c>
      <c r="Q75" s="3"/>
    </row>
    <row r="76" spans="1:17" x14ac:dyDescent="0.25">
      <c r="A76" s="3">
        <v>75</v>
      </c>
      <c r="B76" s="3" t="s">
        <v>112</v>
      </c>
      <c r="C76" s="3" t="s">
        <v>282</v>
      </c>
      <c r="D76" s="3" t="s">
        <v>283</v>
      </c>
      <c r="E76" s="3" t="s">
        <v>169</v>
      </c>
      <c r="F76" s="3" t="s">
        <v>270</v>
      </c>
      <c r="G76" s="3" t="s">
        <v>271</v>
      </c>
      <c r="H76" s="3" t="s">
        <v>118</v>
      </c>
      <c r="I76" s="3" t="s">
        <v>119</v>
      </c>
      <c r="J76" s="3" t="s">
        <v>120</v>
      </c>
      <c r="K76" s="3" t="s">
        <v>121</v>
      </c>
      <c r="L76" s="3">
        <v>2022</v>
      </c>
      <c r="M76" s="3" t="s">
        <v>122</v>
      </c>
      <c r="N76" s="16">
        <v>44604</v>
      </c>
      <c r="O76" s="16">
        <v>44604</v>
      </c>
      <c r="P76" s="3">
        <v>4</v>
      </c>
      <c r="Q76" s="3"/>
    </row>
    <row r="77" spans="1:17" x14ac:dyDescent="0.25">
      <c r="A77" s="3">
        <v>76</v>
      </c>
      <c r="B77" s="3" t="s">
        <v>112</v>
      </c>
      <c r="C77" s="3" t="s">
        <v>284</v>
      </c>
      <c r="D77" s="3" t="s">
        <v>285</v>
      </c>
      <c r="E77" s="3" t="s">
        <v>169</v>
      </c>
      <c r="F77" s="3" t="s">
        <v>270</v>
      </c>
      <c r="G77" s="3" t="s">
        <v>271</v>
      </c>
      <c r="H77" s="3" t="s">
        <v>118</v>
      </c>
      <c r="I77" s="3" t="s">
        <v>119</v>
      </c>
      <c r="J77" s="3" t="s">
        <v>120</v>
      </c>
      <c r="K77" s="3" t="s">
        <v>121</v>
      </c>
      <c r="L77" s="3">
        <v>2022</v>
      </c>
      <c r="M77" s="3" t="s">
        <v>122</v>
      </c>
      <c r="N77" s="16">
        <v>44604</v>
      </c>
      <c r="O77" s="16">
        <v>44604</v>
      </c>
      <c r="P77" s="3">
        <v>4</v>
      </c>
      <c r="Q77" s="3"/>
    </row>
    <row r="78" spans="1:17" x14ac:dyDescent="0.25">
      <c r="A78" s="3">
        <v>77</v>
      </c>
      <c r="B78" s="3" t="s">
        <v>112</v>
      </c>
      <c r="C78" s="3" t="s">
        <v>286</v>
      </c>
      <c r="D78" s="3" t="s">
        <v>287</v>
      </c>
      <c r="E78" s="3" t="s">
        <v>169</v>
      </c>
      <c r="F78" s="3" t="s">
        <v>270</v>
      </c>
      <c r="G78" s="3" t="s">
        <v>271</v>
      </c>
      <c r="H78" s="3" t="s">
        <v>118</v>
      </c>
      <c r="I78" s="3" t="s">
        <v>119</v>
      </c>
      <c r="J78" s="3" t="s">
        <v>120</v>
      </c>
      <c r="K78" s="3" t="s">
        <v>121</v>
      </c>
      <c r="L78" s="3">
        <v>2022</v>
      </c>
      <c r="M78" s="3" t="s">
        <v>122</v>
      </c>
      <c r="N78" s="16">
        <v>44604</v>
      </c>
      <c r="O78" s="16">
        <v>44604</v>
      </c>
      <c r="P78" s="3">
        <v>4</v>
      </c>
      <c r="Q78" s="3"/>
    </row>
    <row r="79" spans="1:17" x14ac:dyDescent="0.25">
      <c r="A79" s="3">
        <v>78</v>
      </c>
      <c r="B79" s="3" t="s">
        <v>112</v>
      </c>
      <c r="C79" s="3" t="s">
        <v>288</v>
      </c>
      <c r="D79" s="3" t="s">
        <v>289</v>
      </c>
      <c r="E79" s="3" t="s">
        <v>169</v>
      </c>
      <c r="F79" s="3" t="s">
        <v>290</v>
      </c>
      <c r="G79" s="3" t="s">
        <v>117</v>
      </c>
      <c r="H79" s="3" t="s">
        <v>118</v>
      </c>
      <c r="I79" s="3" t="s">
        <v>119</v>
      </c>
      <c r="J79" s="3" t="s">
        <v>120</v>
      </c>
      <c r="K79" s="3" t="s">
        <v>121</v>
      </c>
      <c r="L79" s="3">
        <v>2022</v>
      </c>
      <c r="M79" s="3" t="s">
        <v>122</v>
      </c>
      <c r="N79" s="16">
        <v>44611</v>
      </c>
      <c r="O79" s="16">
        <v>44611</v>
      </c>
      <c r="P79" s="3">
        <v>4</v>
      </c>
      <c r="Q79" s="3"/>
    </row>
    <row r="80" spans="1:17" x14ac:dyDescent="0.25">
      <c r="A80" s="3">
        <v>79</v>
      </c>
      <c r="B80" s="3" t="s">
        <v>112</v>
      </c>
      <c r="C80" s="3" t="s">
        <v>291</v>
      </c>
      <c r="D80" s="3" t="s">
        <v>292</v>
      </c>
      <c r="E80" s="3" t="s">
        <v>169</v>
      </c>
      <c r="F80" s="3" t="s">
        <v>293</v>
      </c>
      <c r="G80" s="3" t="s">
        <v>294</v>
      </c>
      <c r="H80" s="3" t="s">
        <v>118</v>
      </c>
      <c r="I80" s="3" t="s">
        <v>119</v>
      </c>
      <c r="J80" s="3" t="s">
        <v>120</v>
      </c>
      <c r="K80" s="3" t="s">
        <v>121</v>
      </c>
      <c r="L80" s="3">
        <v>2022</v>
      </c>
      <c r="M80" s="3" t="s">
        <v>122</v>
      </c>
      <c r="N80" s="16">
        <v>44611</v>
      </c>
      <c r="O80" s="16">
        <v>44611</v>
      </c>
      <c r="P80" s="3">
        <v>4</v>
      </c>
      <c r="Q80" s="3"/>
    </row>
    <row r="81" spans="1:17" x14ac:dyDescent="0.25">
      <c r="A81" s="3">
        <v>80</v>
      </c>
      <c r="B81" s="3" t="s">
        <v>112</v>
      </c>
      <c r="C81" s="3" t="s">
        <v>295</v>
      </c>
      <c r="D81" s="3" t="s">
        <v>296</v>
      </c>
      <c r="E81" s="3" t="s">
        <v>169</v>
      </c>
      <c r="F81" s="3" t="s">
        <v>293</v>
      </c>
      <c r="G81" s="3" t="s">
        <v>294</v>
      </c>
      <c r="H81" s="3" t="s">
        <v>118</v>
      </c>
      <c r="I81" s="3" t="s">
        <v>119</v>
      </c>
      <c r="J81" s="3" t="s">
        <v>120</v>
      </c>
      <c r="K81" s="3" t="s">
        <v>121</v>
      </c>
      <c r="L81" s="3">
        <v>2022</v>
      </c>
      <c r="M81" s="3" t="s">
        <v>122</v>
      </c>
      <c r="N81" s="16">
        <v>44611</v>
      </c>
      <c r="O81" s="16">
        <v>44611</v>
      </c>
      <c r="P81" s="3">
        <v>4</v>
      </c>
      <c r="Q81" s="3"/>
    </row>
    <row r="82" spans="1:17" x14ac:dyDescent="0.25">
      <c r="A82" s="3">
        <v>81</v>
      </c>
      <c r="B82" s="3" t="s">
        <v>112</v>
      </c>
      <c r="C82" s="3" t="s">
        <v>297</v>
      </c>
      <c r="D82" s="3" t="s">
        <v>298</v>
      </c>
      <c r="E82" s="3" t="s">
        <v>169</v>
      </c>
      <c r="F82" s="3" t="s">
        <v>293</v>
      </c>
      <c r="G82" s="3" t="s">
        <v>294</v>
      </c>
      <c r="H82" s="3" t="s">
        <v>118</v>
      </c>
      <c r="I82" s="3" t="s">
        <v>119</v>
      </c>
      <c r="J82" s="3" t="s">
        <v>120</v>
      </c>
      <c r="K82" s="3" t="s">
        <v>121</v>
      </c>
      <c r="L82" s="3">
        <v>2022</v>
      </c>
      <c r="M82" s="3" t="s">
        <v>122</v>
      </c>
      <c r="N82" s="16">
        <v>44611</v>
      </c>
      <c r="O82" s="16">
        <v>44611</v>
      </c>
      <c r="P82" s="3">
        <v>4</v>
      </c>
      <c r="Q82" s="3"/>
    </row>
    <row r="83" spans="1:17" x14ac:dyDescent="0.25">
      <c r="A83" s="3">
        <v>82</v>
      </c>
      <c r="B83" s="3" t="s">
        <v>112</v>
      </c>
      <c r="C83" s="3" t="s">
        <v>299</v>
      </c>
      <c r="D83" s="3" t="s">
        <v>300</v>
      </c>
      <c r="E83" s="3" t="s">
        <v>169</v>
      </c>
      <c r="F83" s="3" t="s">
        <v>293</v>
      </c>
      <c r="G83" s="3" t="s">
        <v>294</v>
      </c>
      <c r="H83" s="3" t="s">
        <v>118</v>
      </c>
      <c r="I83" s="3" t="s">
        <v>119</v>
      </c>
      <c r="J83" s="3" t="s">
        <v>120</v>
      </c>
      <c r="K83" s="3" t="s">
        <v>121</v>
      </c>
      <c r="L83" s="3">
        <v>2022</v>
      </c>
      <c r="M83" s="3" t="s">
        <v>122</v>
      </c>
      <c r="N83" s="16">
        <v>44611</v>
      </c>
      <c r="O83" s="16">
        <v>44611</v>
      </c>
      <c r="P83" s="3">
        <v>4</v>
      </c>
      <c r="Q83" s="3"/>
    </row>
    <row r="84" spans="1:17" x14ac:dyDescent="0.25">
      <c r="A84" s="3">
        <v>83</v>
      </c>
      <c r="B84" s="3" t="s">
        <v>112</v>
      </c>
      <c r="C84" s="3" t="s">
        <v>301</v>
      </c>
      <c r="D84" s="3" t="s">
        <v>302</v>
      </c>
      <c r="E84" s="3" t="s">
        <v>169</v>
      </c>
      <c r="F84" s="3" t="s">
        <v>293</v>
      </c>
      <c r="G84" s="3" t="s">
        <v>294</v>
      </c>
      <c r="H84" s="3" t="s">
        <v>118</v>
      </c>
      <c r="I84" s="3" t="s">
        <v>119</v>
      </c>
      <c r="J84" s="3" t="s">
        <v>120</v>
      </c>
      <c r="K84" s="3" t="s">
        <v>121</v>
      </c>
      <c r="L84" s="3">
        <v>2022</v>
      </c>
      <c r="M84" s="3" t="s">
        <v>122</v>
      </c>
      <c r="N84" s="16">
        <v>44611</v>
      </c>
      <c r="O84" s="16">
        <v>44611</v>
      </c>
      <c r="P84" s="3">
        <v>4</v>
      </c>
      <c r="Q84" s="3"/>
    </row>
    <row r="85" spans="1:17" x14ac:dyDescent="0.25">
      <c r="A85" s="3">
        <v>84</v>
      </c>
      <c r="B85" s="3" t="s">
        <v>112</v>
      </c>
      <c r="C85" s="3" t="s">
        <v>303</v>
      </c>
      <c r="D85" s="3" t="s">
        <v>304</v>
      </c>
      <c r="E85" s="3" t="s">
        <v>169</v>
      </c>
      <c r="F85" s="3" t="s">
        <v>305</v>
      </c>
      <c r="G85" s="3" t="s">
        <v>294</v>
      </c>
      <c r="H85" s="3" t="s">
        <v>118</v>
      </c>
      <c r="I85" s="3" t="s">
        <v>119</v>
      </c>
      <c r="J85" s="3" t="s">
        <v>120</v>
      </c>
      <c r="K85" s="3" t="s">
        <v>121</v>
      </c>
      <c r="L85" s="3">
        <v>2022</v>
      </c>
      <c r="M85" s="3" t="s">
        <v>122</v>
      </c>
      <c r="N85" s="16">
        <v>44611</v>
      </c>
      <c r="O85" s="16">
        <v>44611</v>
      </c>
      <c r="P85" s="3">
        <v>4</v>
      </c>
      <c r="Q85" s="3"/>
    </row>
    <row r="86" spans="1:17" x14ac:dyDescent="0.25">
      <c r="A86" s="3">
        <v>85</v>
      </c>
      <c r="B86" s="3" t="s">
        <v>112</v>
      </c>
      <c r="C86" s="3" t="s">
        <v>306</v>
      </c>
      <c r="D86" s="3" t="s">
        <v>307</v>
      </c>
      <c r="E86" s="3" t="s">
        <v>169</v>
      </c>
      <c r="F86" s="3" t="s">
        <v>305</v>
      </c>
      <c r="G86" s="3" t="s">
        <v>294</v>
      </c>
      <c r="H86" s="3" t="s">
        <v>118</v>
      </c>
      <c r="I86" s="3" t="s">
        <v>119</v>
      </c>
      <c r="J86" s="3" t="s">
        <v>120</v>
      </c>
      <c r="K86" s="3" t="s">
        <v>121</v>
      </c>
      <c r="L86" s="3">
        <v>2022</v>
      </c>
      <c r="M86" s="3" t="s">
        <v>122</v>
      </c>
      <c r="N86" s="16">
        <v>44611</v>
      </c>
      <c r="O86" s="16">
        <v>44611</v>
      </c>
      <c r="P86" s="3">
        <v>4</v>
      </c>
      <c r="Q86" s="3"/>
    </row>
    <row r="87" spans="1:17" x14ac:dyDescent="0.25">
      <c r="A87" s="3">
        <v>86</v>
      </c>
      <c r="B87" s="3" t="s">
        <v>112</v>
      </c>
      <c r="C87" s="3" t="s">
        <v>308</v>
      </c>
      <c r="D87" s="3" t="s">
        <v>309</v>
      </c>
      <c r="E87" s="3" t="s">
        <v>169</v>
      </c>
      <c r="F87" s="3" t="s">
        <v>305</v>
      </c>
      <c r="G87" s="3" t="s">
        <v>294</v>
      </c>
      <c r="H87" s="3" t="s">
        <v>118</v>
      </c>
      <c r="I87" s="3" t="s">
        <v>119</v>
      </c>
      <c r="J87" s="3" t="s">
        <v>120</v>
      </c>
      <c r="K87" s="3" t="s">
        <v>121</v>
      </c>
      <c r="L87" s="3">
        <v>2022</v>
      </c>
      <c r="M87" s="3" t="s">
        <v>122</v>
      </c>
      <c r="N87" s="16">
        <v>44611</v>
      </c>
      <c r="O87" s="16">
        <v>44611</v>
      </c>
      <c r="P87" s="3">
        <v>4</v>
      </c>
      <c r="Q87" s="3"/>
    </row>
    <row r="88" spans="1:17" x14ac:dyDescent="0.25">
      <c r="A88" s="3">
        <v>87</v>
      </c>
      <c r="B88" s="3" t="s">
        <v>112</v>
      </c>
      <c r="C88" s="3" t="s">
        <v>310</v>
      </c>
      <c r="D88" s="3" t="s">
        <v>311</v>
      </c>
      <c r="E88" s="3" t="s">
        <v>169</v>
      </c>
      <c r="F88" s="3" t="s">
        <v>305</v>
      </c>
      <c r="G88" s="3" t="s">
        <v>294</v>
      </c>
      <c r="H88" s="3" t="s">
        <v>118</v>
      </c>
      <c r="I88" s="3" t="s">
        <v>119</v>
      </c>
      <c r="J88" s="3" t="s">
        <v>120</v>
      </c>
      <c r="K88" s="3" t="s">
        <v>121</v>
      </c>
      <c r="L88" s="3">
        <v>2022</v>
      </c>
      <c r="M88" s="3" t="s">
        <v>122</v>
      </c>
      <c r="N88" s="16">
        <v>44611</v>
      </c>
      <c r="O88" s="16">
        <v>44611</v>
      </c>
      <c r="P88" s="3">
        <v>4</v>
      </c>
      <c r="Q88" s="3"/>
    </row>
    <row r="89" spans="1:17" x14ac:dyDescent="0.25">
      <c r="A89" s="3">
        <v>88</v>
      </c>
      <c r="B89" s="3" t="s">
        <v>112</v>
      </c>
      <c r="C89" s="3" t="s">
        <v>312</v>
      </c>
      <c r="D89" s="3" t="s">
        <v>313</v>
      </c>
      <c r="E89" s="3" t="s">
        <v>169</v>
      </c>
      <c r="F89" s="3" t="s">
        <v>305</v>
      </c>
      <c r="G89" s="3" t="s">
        <v>294</v>
      </c>
      <c r="H89" s="3" t="s">
        <v>118</v>
      </c>
      <c r="I89" s="3" t="s">
        <v>119</v>
      </c>
      <c r="J89" s="3" t="s">
        <v>120</v>
      </c>
      <c r="K89" s="3" t="s">
        <v>121</v>
      </c>
      <c r="L89" s="3">
        <v>2022</v>
      </c>
      <c r="M89" s="3" t="s">
        <v>122</v>
      </c>
      <c r="N89" s="16">
        <v>44611</v>
      </c>
      <c r="O89" s="16">
        <v>44611</v>
      </c>
      <c r="P89" s="3">
        <v>4</v>
      </c>
      <c r="Q89" s="3"/>
    </row>
    <row r="90" spans="1:17" x14ac:dyDescent="0.25">
      <c r="A90" s="3">
        <v>89</v>
      </c>
      <c r="B90" s="3" t="s">
        <v>112</v>
      </c>
      <c r="C90" s="3" t="s">
        <v>314</v>
      </c>
      <c r="D90" s="3" t="s">
        <v>315</v>
      </c>
      <c r="E90" s="3" t="s">
        <v>169</v>
      </c>
      <c r="F90" s="3" t="s">
        <v>305</v>
      </c>
      <c r="G90" s="3" t="s">
        <v>294</v>
      </c>
      <c r="H90" s="3" t="s">
        <v>118</v>
      </c>
      <c r="I90" s="3" t="s">
        <v>119</v>
      </c>
      <c r="J90" s="3" t="s">
        <v>120</v>
      </c>
      <c r="K90" s="3" t="s">
        <v>121</v>
      </c>
      <c r="L90" s="3">
        <v>2022</v>
      </c>
      <c r="M90" s="3" t="s">
        <v>122</v>
      </c>
      <c r="N90" s="16">
        <v>44611</v>
      </c>
      <c r="O90" s="16">
        <v>44611</v>
      </c>
      <c r="P90" s="3">
        <v>4</v>
      </c>
      <c r="Q90" s="3"/>
    </row>
    <row r="91" spans="1:17" x14ac:dyDescent="0.25">
      <c r="A91" s="3">
        <v>90</v>
      </c>
      <c r="B91" s="3" t="s">
        <v>112</v>
      </c>
      <c r="C91" s="3" t="s">
        <v>316</v>
      </c>
      <c r="D91" s="3" t="s">
        <v>317</v>
      </c>
      <c r="E91" s="3" t="s">
        <v>169</v>
      </c>
      <c r="F91" s="3" t="s">
        <v>305</v>
      </c>
      <c r="G91" s="3" t="s">
        <v>294</v>
      </c>
      <c r="H91" s="3" t="s">
        <v>118</v>
      </c>
      <c r="I91" s="3" t="s">
        <v>119</v>
      </c>
      <c r="J91" s="3" t="s">
        <v>120</v>
      </c>
      <c r="K91" s="3" t="s">
        <v>121</v>
      </c>
      <c r="L91" s="3">
        <v>2022</v>
      </c>
      <c r="M91" s="3" t="s">
        <v>122</v>
      </c>
      <c r="N91" s="16">
        <v>44611</v>
      </c>
      <c r="O91" s="16">
        <v>44611</v>
      </c>
      <c r="P91" s="3">
        <v>4</v>
      </c>
      <c r="Q91" s="3"/>
    </row>
    <row r="92" spans="1:17" x14ac:dyDescent="0.25">
      <c r="A92" s="3">
        <v>91</v>
      </c>
      <c r="B92" s="3" t="s">
        <v>112</v>
      </c>
      <c r="C92" s="3" t="s">
        <v>318</v>
      </c>
      <c r="D92" s="3" t="s">
        <v>319</v>
      </c>
      <c r="E92" s="3" t="s">
        <v>169</v>
      </c>
      <c r="F92" s="3" t="s">
        <v>305</v>
      </c>
      <c r="G92" s="3" t="s">
        <v>294</v>
      </c>
      <c r="H92" s="3" t="s">
        <v>118</v>
      </c>
      <c r="I92" s="3" t="s">
        <v>119</v>
      </c>
      <c r="J92" s="3" t="s">
        <v>120</v>
      </c>
      <c r="K92" s="3" t="s">
        <v>121</v>
      </c>
      <c r="L92" s="3">
        <v>2022</v>
      </c>
      <c r="M92" s="3" t="s">
        <v>122</v>
      </c>
      <c r="N92" s="16">
        <v>44611</v>
      </c>
      <c r="O92" s="16">
        <v>44611</v>
      </c>
      <c r="P92" s="3">
        <v>4</v>
      </c>
      <c r="Q92" s="3"/>
    </row>
    <row r="93" spans="1:17" x14ac:dyDescent="0.25">
      <c r="A93" s="3">
        <v>92</v>
      </c>
      <c r="B93" s="3" t="s">
        <v>112</v>
      </c>
      <c r="C93" s="3" t="s">
        <v>320</v>
      </c>
      <c r="D93" s="3" t="s">
        <v>321</v>
      </c>
      <c r="E93" s="3" t="s">
        <v>169</v>
      </c>
      <c r="F93" s="3" t="s">
        <v>305</v>
      </c>
      <c r="G93" s="3" t="s">
        <v>294</v>
      </c>
      <c r="H93" s="3" t="s">
        <v>118</v>
      </c>
      <c r="I93" s="3" t="s">
        <v>119</v>
      </c>
      <c r="J93" s="3" t="s">
        <v>120</v>
      </c>
      <c r="K93" s="3" t="s">
        <v>121</v>
      </c>
      <c r="L93" s="3">
        <v>2022</v>
      </c>
      <c r="M93" s="3" t="s">
        <v>122</v>
      </c>
      <c r="N93" s="16">
        <v>44611</v>
      </c>
      <c r="O93" s="16">
        <v>44611</v>
      </c>
      <c r="P93" s="3">
        <v>4</v>
      </c>
      <c r="Q93" s="3"/>
    </row>
    <row r="94" spans="1:17" x14ac:dyDescent="0.25">
      <c r="A94" s="3">
        <v>93</v>
      </c>
      <c r="B94" s="3" t="s">
        <v>112</v>
      </c>
      <c r="C94" s="3" t="s">
        <v>322</v>
      </c>
      <c r="D94" s="3" t="s">
        <v>323</v>
      </c>
      <c r="E94" s="3" t="s">
        <v>169</v>
      </c>
      <c r="F94" s="3" t="s">
        <v>324</v>
      </c>
      <c r="G94" s="3" t="s">
        <v>294</v>
      </c>
      <c r="H94" s="3" t="s">
        <v>118</v>
      </c>
      <c r="I94" s="3" t="s">
        <v>119</v>
      </c>
      <c r="J94" s="3" t="s">
        <v>120</v>
      </c>
      <c r="K94" s="3" t="s">
        <v>121</v>
      </c>
      <c r="L94" s="3">
        <v>2022</v>
      </c>
      <c r="M94" s="3" t="s">
        <v>122</v>
      </c>
      <c r="N94" s="16">
        <v>44611</v>
      </c>
      <c r="O94" s="16">
        <v>44611</v>
      </c>
      <c r="P94" s="3">
        <v>4</v>
      </c>
      <c r="Q94" s="3"/>
    </row>
    <row r="95" spans="1:17" x14ac:dyDescent="0.25">
      <c r="A95" s="3">
        <v>94</v>
      </c>
      <c r="B95" s="3" t="s">
        <v>112</v>
      </c>
      <c r="C95" s="3" t="s">
        <v>325</v>
      </c>
      <c r="D95" s="3" t="s">
        <v>326</v>
      </c>
      <c r="E95" s="3" t="s">
        <v>169</v>
      </c>
      <c r="F95" s="3" t="s">
        <v>324</v>
      </c>
      <c r="G95" s="3" t="s">
        <v>294</v>
      </c>
      <c r="H95" s="3" t="s">
        <v>118</v>
      </c>
      <c r="I95" s="3" t="s">
        <v>119</v>
      </c>
      <c r="J95" s="3" t="s">
        <v>120</v>
      </c>
      <c r="K95" s="3" t="s">
        <v>121</v>
      </c>
      <c r="L95" s="3">
        <v>2022</v>
      </c>
      <c r="M95" s="3" t="s">
        <v>122</v>
      </c>
      <c r="N95" s="16">
        <v>44611</v>
      </c>
      <c r="O95" s="16">
        <v>44611</v>
      </c>
      <c r="P95" s="3">
        <v>4</v>
      </c>
      <c r="Q95" s="3"/>
    </row>
    <row r="96" spans="1:17" x14ac:dyDescent="0.25">
      <c r="A96" s="3">
        <v>95</v>
      </c>
      <c r="B96" s="3" t="s">
        <v>112</v>
      </c>
      <c r="C96" s="3" t="s">
        <v>327</v>
      </c>
      <c r="D96" s="3" t="s">
        <v>328</v>
      </c>
      <c r="E96" s="3" t="s">
        <v>169</v>
      </c>
      <c r="F96" s="3" t="s">
        <v>324</v>
      </c>
      <c r="G96" s="3" t="s">
        <v>294</v>
      </c>
      <c r="H96" s="3" t="s">
        <v>118</v>
      </c>
      <c r="I96" s="3" t="s">
        <v>119</v>
      </c>
      <c r="J96" s="3" t="s">
        <v>120</v>
      </c>
      <c r="K96" s="3" t="s">
        <v>121</v>
      </c>
      <c r="L96" s="3">
        <v>2022</v>
      </c>
      <c r="M96" s="3" t="s">
        <v>122</v>
      </c>
      <c r="N96" s="16">
        <v>44611</v>
      </c>
      <c r="O96" s="16">
        <v>44611</v>
      </c>
      <c r="P96" s="3">
        <v>4</v>
      </c>
      <c r="Q96" s="3"/>
    </row>
    <row r="97" spans="1:17" x14ac:dyDescent="0.25">
      <c r="A97" s="3">
        <v>96</v>
      </c>
      <c r="B97" s="3" t="s">
        <v>112</v>
      </c>
      <c r="C97" s="3" t="s">
        <v>329</v>
      </c>
      <c r="D97" s="3" t="s">
        <v>330</v>
      </c>
      <c r="E97" s="3" t="s">
        <v>169</v>
      </c>
      <c r="F97" s="3" t="s">
        <v>324</v>
      </c>
      <c r="G97" s="3" t="s">
        <v>294</v>
      </c>
      <c r="H97" s="3" t="s">
        <v>118</v>
      </c>
      <c r="I97" s="3" t="s">
        <v>119</v>
      </c>
      <c r="J97" s="3" t="s">
        <v>120</v>
      </c>
      <c r="K97" s="3" t="s">
        <v>121</v>
      </c>
      <c r="L97" s="3">
        <v>2022</v>
      </c>
      <c r="M97" s="3" t="s">
        <v>122</v>
      </c>
      <c r="N97" s="16">
        <v>44611</v>
      </c>
      <c r="O97" s="16">
        <v>44611</v>
      </c>
      <c r="P97" s="3">
        <v>4</v>
      </c>
      <c r="Q97" s="3"/>
    </row>
    <row r="98" spans="1:17" x14ac:dyDescent="0.25">
      <c r="A98" s="3">
        <v>97</v>
      </c>
      <c r="B98" s="3" t="s">
        <v>112</v>
      </c>
      <c r="C98" s="3" t="s">
        <v>331</v>
      </c>
      <c r="D98" s="3" t="s">
        <v>332</v>
      </c>
      <c r="E98" s="3" t="s">
        <v>169</v>
      </c>
      <c r="F98" s="3" t="s">
        <v>324</v>
      </c>
      <c r="G98" s="3" t="s">
        <v>294</v>
      </c>
      <c r="H98" s="3" t="s">
        <v>118</v>
      </c>
      <c r="I98" s="3" t="s">
        <v>119</v>
      </c>
      <c r="J98" s="3" t="s">
        <v>120</v>
      </c>
      <c r="K98" s="3" t="s">
        <v>121</v>
      </c>
      <c r="L98" s="3">
        <v>2022</v>
      </c>
      <c r="M98" s="3" t="s">
        <v>122</v>
      </c>
      <c r="N98" s="16">
        <v>44611</v>
      </c>
      <c r="O98" s="16">
        <v>44611</v>
      </c>
      <c r="P98" s="3">
        <v>4</v>
      </c>
      <c r="Q98" s="3"/>
    </row>
    <row r="99" spans="1:17" x14ac:dyDescent="0.25">
      <c r="A99" s="3">
        <v>98</v>
      </c>
      <c r="B99" s="3" t="s">
        <v>112</v>
      </c>
      <c r="C99" s="3" t="s">
        <v>333</v>
      </c>
      <c r="D99" s="3" t="s">
        <v>334</v>
      </c>
      <c r="E99" s="3" t="s">
        <v>169</v>
      </c>
      <c r="F99" s="3" t="s">
        <v>324</v>
      </c>
      <c r="G99" s="3" t="s">
        <v>294</v>
      </c>
      <c r="H99" s="3" t="s">
        <v>118</v>
      </c>
      <c r="I99" s="3" t="s">
        <v>119</v>
      </c>
      <c r="J99" s="3" t="s">
        <v>120</v>
      </c>
      <c r="K99" s="3" t="s">
        <v>121</v>
      </c>
      <c r="L99" s="3">
        <v>2022</v>
      </c>
      <c r="M99" s="3" t="s">
        <v>122</v>
      </c>
      <c r="N99" s="16">
        <v>44611</v>
      </c>
      <c r="O99" s="16">
        <v>44611</v>
      </c>
      <c r="P99" s="3">
        <v>4</v>
      </c>
      <c r="Q99" s="3"/>
    </row>
    <row r="100" spans="1:17" x14ac:dyDescent="0.25">
      <c r="A100" s="3">
        <v>99</v>
      </c>
      <c r="B100" s="3" t="s">
        <v>112</v>
      </c>
      <c r="C100" s="3" t="s">
        <v>335</v>
      </c>
      <c r="D100" s="3" t="s">
        <v>336</v>
      </c>
      <c r="E100" s="3" t="s">
        <v>169</v>
      </c>
      <c r="F100" s="3" t="s">
        <v>337</v>
      </c>
      <c r="G100" s="3" t="s">
        <v>198</v>
      </c>
      <c r="H100" s="3" t="s">
        <v>118</v>
      </c>
      <c r="I100" s="3" t="s">
        <v>119</v>
      </c>
      <c r="J100" s="3" t="s">
        <v>120</v>
      </c>
      <c r="K100" s="3" t="s">
        <v>121</v>
      </c>
      <c r="L100" s="3">
        <v>2022</v>
      </c>
      <c r="M100" s="3" t="s">
        <v>122</v>
      </c>
      <c r="N100" s="16">
        <v>44611</v>
      </c>
      <c r="O100" s="16">
        <v>44611</v>
      </c>
      <c r="P100" s="3">
        <v>4</v>
      </c>
      <c r="Q100" s="3"/>
    </row>
    <row r="101" spans="1:17" x14ac:dyDescent="0.25">
      <c r="A101" s="3">
        <v>100</v>
      </c>
      <c r="B101" s="3" t="s">
        <v>112</v>
      </c>
      <c r="C101" s="3" t="s">
        <v>338</v>
      </c>
      <c r="D101" s="3" t="s">
        <v>339</v>
      </c>
      <c r="E101" s="3" t="s">
        <v>169</v>
      </c>
      <c r="F101" s="3" t="s">
        <v>337</v>
      </c>
      <c r="G101" s="3" t="s">
        <v>198</v>
      </c>
      <c r="H101" s="3" t="s">
        <v>118</v>
      </c>
      <c r="I101" s="3" t="s">
        <v>119</v>
      </c>
      <c r="J101" s="3" t="s">
        <v>120</v>
      </c>
      <c r="K101" s="3" t="s">
        <v>121</v>
      </c>
      <c r="L101" s="3">
        <v>2022</v>
      </c>
      <c r="M101" s="3" t="s">
        <v>122</v>
      </c>
      <c r="N101" s="16">
        <v>44611</v>
      </c>
      <c r="O101" s="16">
        <v>44611</v>
      </c>
      <c r="P101" s="3">
        <v>4</v>
      </c>
      <c r="Q101" s="3"/>
    </row>
    <row r="102" spans="1:17" x14ac:dyDescent="0.25">
      <c r="A102" s="3">
        <v>101</v>
      </c>
      <c r="B102" s="3" t="s">
        <v>112</v>
      </c>
      <c r="C102" s="3" t="s">
        <v>340</v>
      </c>
      <c r="D102" s="3" t="s">
        <v>341</v>
      </c>
      <c r="E102" s="3" t="s">
        <v>169</v>
      </c>
      <c r="F102" s="3" t="s">
        <v>337</v>
      </c>
      <c r="G102" s="3" t="s">
        <v>198</v>
      </c>
      <c r="H102" s="3" t="s">
        <v>118</v>
      </c>
      <c r="I102" s="3" t="s">
        <v>119</v>
      </c>
      <c r="J102" s="3" t="s">
        <v>120</v>
      </c>
      <c r="K102" s="3" t="s">
        <v>121</v>
      </c>
      <c r="L102" s="3">
        <v>2022</v>
      </c>
      <c r="M102" s="3" t="s">
        <v>122</v>
      </c>
      <c r="N102" s="16">
        <v>44611</v>
      </c>
      <c r="O102" s="16">
        <v>44611</v>
      </c>
      <c r="P102" s="3">
        <v>4</v>
      </c>
      <c r="Q102" s="3"/>
    </row>
    <row r="103" spans="1:17" x14ac:dyDescent="0.25">
      <c r="A103" s="3">
        <v>102</v>
      </c>
      <c r="B103" s="3" t="s">
        <v>112</v>
      </c>
      <c r="C103" s="3" t="s">
        <v>342</v>
      </c>
      <c r="D103" s="3" t="s">
        <v>343</v>
      </c>
      <c r="E103" s="3" t="s">
        <v>169</v>
      </c>
      <c r="F103" s="3" t="s">
        <v>337</v>
      </c>
      <c r="G103" s="3" t="s">
        <v>198</v>
      </c>
      <c r="H103" s="3" t="s">
        <v>118</v>
      </c>
      <c r="I103" s="3" t="s">
        <v>119</v>
      </c>
      <c r="J103" s="3" t="s">
        <v>120</v>
      </c>
      <c r="K103" s="3" t="s">
        <v>121</v>
      </c>
      <c r="L103" s="3">
        <v>2022</v>
      </c>
      <c r="M103" s="3" t="s">
        <v>122</v>
      </c>
      <c r="N103" s="16">
        <v>44611</v>
      </c>
      <c r="O103" s="16">
        <v>44611</v>
      </c>
      <c r="P103" s="3">
        <v>4</v>
      </c>
      <c r="Q103" s="3"/>
    </row>
    <row r="104" spans="1:17" x14ac:dyDescent="0.25">
      <c r="A104" s="3">
        <v>103</v>
      </c>
      <c r="B104" s="3" t="s">
        <v>112</v>
      </c>
      <c r="C104" s="3" t="s">
        <v>344</v>
      </c>
      <c r="D104" s="3" t="s">
        <v>345</v>
      </c>
      <c r="E104" s="3" t="s">
        <v>169</v>
      </c>
      <c r="F104" s="3" t="s">
        <v>337</v>
      </c>
      <c r="G104" s="3" t="s">
        <v>198</v>
      </c>
      <c r="H104" s="3" t="s">
        <v>118</v>
      </c>
      <c r="I104" s="3" t="s">
        <v>119</v>
      </c>
      <c r="J104" s="3" t="s">
        <v>120</v>
      </c>
      <c r="K104" s="3" t="s">
        <v>121</v>
      </c>
      <c r="L104" s="3">
        <v>2022</v>
      </c>
      <c r="M104" s="3" t="s">
        <v>122</v>
      </c>
      <c r="N104" s="16">
        <v>44611</v>
      </c>
      <c r="O104" s="16">
        <v>44611</v>
      </c>
      <c r="P104" s="3">
        <v>4</v>
      </c>
      <c r="Q104" s="3"/>
    </row>
    <row r="105" spans="1:17" x14ac:dyDescent="0.25">
      <c r="A105" s="3">
        <v>104</v>
      </c>
      <c r="B105" s="3" t="s">
        <v>112</v>
      </c>
      <c r="C105" s="3" t="s">
        <v>346</v>
      </c>
      <c r="D105" s="3" t="s">
        <v>347</v>
      </c>
      <c r="E105" s="3" t="s">
        <v>169</v>
      </c>
      <c r="F105" s="3" t="s">
        <v>337</v>
      </c>
      <c r="G105" s="3" t="s">
        <v>198</v>
      </c>
      <c r="H105" s="3" t="s">
        <v>118</v>
      </c>
      <c r="I105" s="3" t="s">
        <v>119</v>
      </c>
      <c r="J105" s="3" t="s">
        <v>120</v>
      </c>
      <c r="K105" s="3" t="s">
        <v>121</v>
      </c>
      <c r="L105" s="3">
        <v>2022</v>
      </c>
      <c r="M105" s="3" t="s">
        <v>122</v>
      </c>
      <c r="N105" s="16">
        <v>44611</v>
      </c>
      <c r="O105" s="16">
        <v>44611</v>
      </c>
      <c r="P105" s="3">
        <v>4</v>
      </c>
      <c r="Q105" s="3"/>
    </row>
    <row r="106" spans="1:17" x14ac:dyDescent="0.25">
      <c r="A106" s="3">
        <v>105</v>
      </c>
      <c r="B106" s="3" t="s">
        <v>112</v>
      </c>
      <c r="C106" s="3" t="s">
        <v>348</v>
      </c>
      <c r="D106" s="3" t="s">
        <v>349</v>
      </c>
      <c r="E106" s="3" t="s">
        <v>169</v>
      </c>
      <c r="F106" s="3" t="s">
        <v>337</v>
      </c>
      <c r="G106" s="3" t="s">
        <v>198</v>
      </c>
      <c r="H106" s="3" t="s">
        <v>118</v>
      </c>
      <c r="I106" s="3" t="s">
        <v>119</v>
      </c>
      <c r="J106" s="3" t="s">
        <v>120</v>
      </c>
      <c r="K106" s="3" t="s">
        <v>121</v>
      </c>
      <c r="L106" s="3">
        <v>2022</v>
      </c>
      <c r="M106" s="3" t="s">
        <v>122</v>
      </c>
      <c r="N106" s="16">
        <v>44611</v>
      </c>
      <c r="O106" s="16">
        <v>44611</v>
      </c>
      <c r="P106" s="3">
        <v>4</v>
      </c>
      <c r="Q106" s="3"/>
    </row>
    <row r="107" spans="1:17" x14ac:dyDescent="0.25">
      <c r="A107" s="3">
        <v>106</v>
      </c>
      <c r="B107" s="3" t="s">
        <v>112</v>
      </c>
      <c r="C107" s="3" t="s">
        <v>350</v>
      </c>
      <c r="D107" s="3" t="s">
        <v>351</v>
      </c>
      <c r="E107" s="3" t="s">
        <v>169</v>
      </c>
      <c r="F107" s="3" t="s">
        <v>337</v>
      </c>
      <c r="G107" s="3" t="s">
        <v>198</v>
      </c>
      <c r="H107" s="3" t="s">
        <v>118</v>
      </c>
      <c r="I107" s="3" t="s">
        <v>119</v>
      </c>
      <c r="J107" s="3" t="s">
        <v>120</v>
      </c>
      <c r="K107" s="3" t="s">
        <v>121</v>
      </c>
      <c r="L107" s="3">
        <v>2022</v>
      </c>
      <c r="M107" s="3" t="s">
        <v>122</v>
      </c>
      <c r="N107" s="16">
        <v>44611</v>
      </c>
      <c r="O107" s="16">
        <v>44611</v>
      </c>
      <c r="P107" s="3">
        <v>4</v>
      </c>
      <c r="Q107" s="3"/>
    </row>
    <row r="108" spans="1:17" x14ac:dyDescent="0.25">
      <c r="A108" s="3">
        <v>107</v>
      </c>
      <c r="B108" s="3" t="s">
        <v>112</v>
      </c>
      <c r="C108" s="3" t="s">
        <v>352</v>
      </c>
      <c r="D108" s="3" t="s">
        <v>353</v>
      </c>
      <c r="E108" s="3" t="s">
        <v>169</v>
      </c>
      <c r="F108" s="3" t="s">
        <v>354</v>
      </c>
      <c r="G108" s="3" t="s">
        <v>271</v>
      </c>
      <c r="H108" s="3" t="s">
        <v>118</v>
      </c>
      <c r="I108" s="3" t="s">
        <v>119</v>
      </c>
      <c r="J108" s="3" t="s">
        <v>120</v>
      </c>
      <c r="K108" s="3" t="s">
        <v>121</v>
      </c>
      <c r="L108" s="3">
        <v>2022</v>
      </c>
      <c r="M108" s="3" t="s">
        <v>122</v>
      </c>
      <c r="N108" s="16">
        <v>44611</v>
      </c>
      <c r="O108" s="16">
        <v>44611</v>
      </c>
      <c r="P108" s="3">
        <v>4</v>
      </c>
      <c r="Q108" s="3"/>
    </row>
    <row r="109" spans="1:17" x14ac:dyDescent="0.25">
      <c r="A109" s="3">
        <v>108</v>
      </c>
      <c r="B109" s="3" t="s">
        <v>112</v>
      </c>
      <c r="C109" s="3" t="s">
        <v>355</v>
      </c>
      <c r="D109" s="3" t="s">
        <v>356</v>
      </c>
      <c r="E109" s="3" t="s">
        <v>169</v>
      </c>
      <c r="F109" s="3" t="s">
        <v>354</v>
      </c>
      <c r="G109" s="3" t="s">
        <v>271</v>
      </c>
      <c r="H109" s="3" t="s">
        <v>118</v>
      </c>
      <c r="I109" s="3" t="s">
        <v>119</v>
      </c>
      <c r="J109" s="3" t="s">
        <v>120</v>
      </c>
      <c r="K109" s="3" t="s">
        <v>121</v>
      </c>
      <c r="L109" s="3">
        <v>2022</v>
      </c>
      <c r="M109" s="3" t="s">
        <v>122</v>
      </c>
      <c r="N109" s="16">
        <v>44611</v>
      </c>
      <c r="O109" s="16">
        <v>44611</v>
      </c>
      <c r="P109" s="3">
        <v>4</v>
      </c>
      <c r="Q109" s="3"/>
    </row>
    <row r="110" spans="1:17" x14ac:dyDescent="0.25">
      <c r="A110" s="3">
        <v>109</v>
      </c>
      <c r="B110" s="3" t="s">
        <v>112</v>
      </c>
      <c r="C110" s="3" t="s">
        <v>357</v>
      </c>
      <c r="D110" s="3" t="s">
        <v>358</v>
      </c>
      <c r="E110" s="3" t="s">
        <v>169</v>
      </c>
      <c r="F110" s="3" t="s">
        <v>354</v>
      </c>
      <c r="G110" s="3" t="s">
        <v>271</v>
      </c>
      <c r="H110" s="3" t="s">
        <v>118</v>
      </c>
      <c r="I110" s="3" t="s">
        <v>119</v>
      </c>
      <c r="J110" s="3" t="s">
        <v>120</v>
      </c>
      <c r="K110" s="3" t="s">
        <v>121</v>
      </c>
      <c r="L110" s="3">
        <v>2022</v>
      </c>
      <c r="M110" s="3" t="s">
        <v>122</v>
      </c>
      <c r="N110" s="16">
        <v>44611</v>
      </c>
      <c r="O110" s="16">
        <v>44611</v>
      </c>
      <c r="P110" s="3">
        <v>4</v>
      </c>
      <c r="Q110" s="3"/>
    </row>
    <row r="111" spans="1:17" x14ac:dyDescent="0.25">
      <c r="A111" s="3">
        <v>110</v>
      </c>
      <c r="B111" s="3" t="s">
        <v>112</v>
      </c>
      <c r="C111" s="3" t="s">
        <v>359</v>
      </c>
      <c r="D111" s="3" t="s">
        <v>360</v>
      </c>
      <c r="E111" s="3" t="s">
        <v>169</v>
      </c>
      <c r="F111" s="3" t="s">
        <v>354</v>
      </c>
      <c r="G111" s="3" t="s">
        <v>271</v>
      </c>
      <c r="H111" s="3" t="s">
        <v>118</v>
      </c>
      <c r="I111" s="3" t="s">
        <v>119</v>
      </c>
      <c r="J111" s="3" t="s">
        <v>120</v>
      </c>
      <c r="K111" s="3" t="s">
        <v>121</v>
      </c>
      <c r="L111" s="3">
        <v>2022</v>
      </c>
      <c r="M111" s="3" t="s">
        <v>122</v>
      </c>
      <c r="N111" s="16">
        <v>44611</v>
      </c>
      <c r="O111" s="16">
        <v>44611</v>
      </c>
      <c r="P111" s="3">
        <v>4</v>
      </c>
      <c r="Q111" s="3"/>
    </row>
    <row r="112" spans="1:17" x14ac:dyDescent="0.25">
      <c r="A112" s="3">
        <v>111</v>
      </c>
      <c r="B112" s="3" t="s">
        <v>112</v>
      </c>
      <c r="C112" s="3" t="s">
        <v>361</v>
      </c>
      <c r="D112" s="3" t="s">
        <v>362</v>
      </c>
      <c r="E112" s="3" t="s">
        <v>169</v>
      </c>
      <c r="F112" s="3" t="s">
        <v>354</v>
      </c>
      <c r="G112" s="3" t="s">
        <v>271</v>
      </c>
      <c r="H112" s="3" t="s">
        <v>118</v>
      </c>
      <c r="I112" s="3" t="s">
        <v>119</v>
      </c>
      <c r="J112" s="3" t="s">
        <v>120</v>
      </c>
      <c r="K112" s="3" t="s">
        <v>121</v>
      </c>
      <c r="L112" s="3">
        <v>2022</v>
      </c>
      <c r="M112" s="3" t="s">
        <v>122</v>
      </c>
      <c r="N112" s="16">
        <v>44611</v>
      </c>
      <c r="O112" s="16">
        <v>44611</v>
      </c>
      <c r="P112" s="3">
        <v>4</v>
      </c>
      <c r="Q112" s="3"/>
    </row>
    <row r="113" spans="1:17" x14ac:dyDescent="0.25">
      <c r="A113" s="3">
        <v>112</v>
      </c>
      <c r="B113" s="3" t="s">
        <v>112</v>
      </c>
      <c r="C113" s="3" t="s">
        <v>363</v>
      </c>
      <c r="D113" s="3" t="s">
        <v>364</v>
      </c>
      <c r="E113" s="3" t="s">
        <v>169</v>
      </c>
      <c r="F113" s="3" t="s">
        <v>354</v>
      </c>
      <c r="G113" s="3" t="s">
        <v>271</v>
      </c>
      <c r="H113" s="3" t="s">
        <v>118</v>
      </c>
      <c r="I113" s="3" t="s">
        <v>119</v>
      </c>
      <c r="J113" s="3" t="s">
        <v>120</v>
      </c>
      <c r="K113" s="3" t="s">
        <v>121</v>
      </c>
      <c r="L113" s="3">
        <v>2022</v>
      </c>
      <c r="M113" s="3" t="s">
        <v>122</v>
      </c>
      <c r="N113" s="16">
        <v>44611</v>
      </c>
      <c r="O113" s="16">
        <v>44611</v>
      </c>
      <c r="P113" s="3">
        <v>4</v>
      </c>
      <c r="Q113" s="3"/>
    </row>
    <row r="114" spans="1:17" x14ac:dyDescent="0.25">
      <c r="A114" s="3">
        <v>113</v>
      </c>
      <c r="B114" s="3" t="s">
        <v>112</v>
      </c>
      <c r="C114" s="3" t="s">
        <v>365</v>
      </c>
      <c r="D114" s="3" t="s">
        <v>366</v>
      </c>
      <c r="E114" s="3" t="s">
        <v>169</v>
      </c>
      <c r="F114" s="3" t="s">
        <v>354</v>
      </c>
      <c r="G114" s="3" t="s">
        <v>271</v>
      </c>
      <c r="H114" s="3" t="s">
        <v>118</v>
      </c>
      <c r="I114" s="3" t="s">
        <v>119</v>
      </c>
      <c r="J114" s="3" t="s">
        <v>120</v>
      </c>
      <c r="K114" s="3" t="s">
        <v>121</v>
      </c>
      <c r="L114" s="3">
        <v>2022</v>
      </c>
      <c r="M114" s="3" t="s">
        <v>122</v>
      </c>
      <c r="N114" s="16">
        <v>44611</v>
      </c>
      <c r="O114" s="16">
        <v>44611</v>
      </c>
      <c r="P114" s="3">
        <v>4</v>
      </c>
      <c r="Q114" s="3"/>
    </row>
    <row r="115" spans="1:17" x14ac:dyDescent="0.25">
      <c r="A115" s="3">
        <v>114</v>
      </c>
      <c r="B115" s="3" t="s">
        <v>112</v>
      </c>
      <c r="C115" s="3" t="s">
        <v>367</v>
      </c>
      <c r="D115" s="3" t="s">
        <v>368</v>
      </c>
      <c r="E115" s="3" t="s">
        <v>169</v>
      </c>
      <c r="F115" s="3" t="s">
        <v>354</v>
      </c>
      <c r="G115" s="3" t="s">
        <v>271</v>
      </c>
      <c r="H115" s="3" t="s">
        <v>118</v>
      </c>
      <c r="I115" s="3" t="s">
        <v>119</v>
      </c>
      <c r="J115" s="3" t="s">
        <v>120</v>
      </c>
      <c r="K115" s="3" t="s">
        <v>121</v>
      </c>
      <c r="L115" s="3">
        <v>2022</v>
      </c>
      <c r="M115" s="3" t="s">
        <v>122</v>
      </c>
      <c r="N115" s="16">
        <v>44611</v>
      </c>
      <c r="O115" s="16">
        <v>44611</v>
      </c>
      <c r="P115" s="3">
        <v>4</v>
      </c>
      <c r="Q115" s="3"/>
    </row>
    <row r="116" spans="1:17" x14ac:dyDescent="0.25">
      <c r="A116" s="3">
        <v>115</v>
      </c>
      <c r="B116" s="3" t="s">
        <v>112</v>
      </c>
      <c r="C116" s="3" t="s">
        <v>369</v>
      </c>
      <c r="D116" s="3" t="s">
        <v>370</v>
      </c>
      <c r="E116" s="3" t="s">
        <v>169</v>
      </c>
      <c r="F116" s="3" t="s">
        <v>371</v>
      </c>
      <c r="G116" s="3" t="s">
        <v>372</v>
      </c>
      <c r="H116" s="3" t="s">
        <v>118</v>
      </c>
      <c r="I116" s="3" t="s">
        <v>119</v>
      </c>
      <c r="J116" s="3" t="s">
        <v>120</v>
      </c>
      <c r="K116" s="3" t="s">
        <v>121</v>
      </c>
      <c r="L116" s="3">
        <v>2022</v>
      </c>
      <c r="M116" s="3" t="s">
        <v>122</v>
      </c>
      <c r="N116" s="16">
        <v>44611</v>
      </c>
      <c r="O116" s="16">
        <v>44611</v>
      </c>
      <c r="P116" s="3">
        <v>4</v>
      </c>
      <c r="Q116" s="3"/>
    </row>
    <row r="117" spans="1:17" x14ac:dyDescent="0.25">
      <c r="A117" s="3">
        <v>116</v>
      </c>
      <c r="B117" s="3" t="s">
        <v>112</v>
      </c>
      <c r="C117" s="3" t="s">
        <v>373</v>
      </c>
      <c r="D117" s="3" t="s">
        <v>374</v>
      </c>
      <c r="E117" s="3" t="s">
        <v>169</v>
      </c>
      <c r="F117" s="3" t="s">
        <v>375</v>
      </c>
      <c r="G117" s="3" t="s">
        <v>372</v>
      </c>
      <c r="H117" s="3" t="s">
        <v>118</v>
      </c>
      <c r="I117" s="3" t="s">
        <v>119</v>
      </c>
      <c r="J117" s="3" t="s">
        <v>120</v>
      </c>
      <c r="K117" s="3" t="s">
        <v>121</v>
      </c>
      <c r="L117" s="3">
        <v>2022</v>
      </c>
      <c r="M117" s="3" t="s">
        <v>122</v>
      </c>
      <c r="N117" s="16">
        <v>44611</v>
      </c>
      <c r="O117" s="16">
        <v>44611</v>
      </c>
      <c r="P117" s="3">
        <v>4</v>
      </c>
      <c r="Q117" s="3"/>
    </row>
    <row r="118" spans="1:17" x14ac:dyDescent="0.25">
      <c r="A118" s="3">
        <v>117</v>
      </c>
      <c r="B118" s="3" t="s">
        <v>112</v>
      </c>
      <c r="C118" s="3" t="s">
        <v>376</v>
      </c>
      <c r="D118" s="3" t="s">
        <v>377</v>
      </c>
      <c r="E118" s="3" t="s">
        <v>169</v>
      </c>
      <c r="F118" s="3" t="s">
        <v>375</v>
      </c>
      <c r="G118" s="3" t="s">
        <v>372</v>
      </c>
      <c r="H118" s="3" t="s">
        <v>118</v>
      </c>
      <c r="I118" s="3" t="s">
        <v>119</v>
      </c>
      <c r="J118" s="3" t="s">
        <v>120</v>
      </c>
      <c r="K118" s="3" t="s">
        <v>121</v>
      </c>
      <c r="L118" s="3">
        <v>2022</v>
      </c>
      <c r="M118" s="3" t="s">
        <v>122</v>
      </c>
      <c r="N118" s="16">
        <v>44611</v>
      </c>
      <c r="O118" s="16">
        <v>44611</v>
      </c>
      <c r="P118" s="3">
        <v>4</v>
      </c>
      <c r="Q118" s="3"/>
    </row>
    <row r="119" spans="1:17" x14ac:dyDescent="0.25">
      <c r="A119" s="3">
        <v>118</v>
      </c>
      <c r="B119" s="3" t="s">
        <v>112</v>
      </c>
      <c r="C119" s="3" t="s">
        <v>378</v>
      </c>
      <c r="D119" s="3" t="s">
        <v>379</v>
      </c>
      <c r="E119" s="3" t="s">
        <v>169</v>
      </c>
      <c r="F119" s="3" t="s">
        <v>371</v>
      </c>
      <c r="G119" s="3" t="s">
        <v>372</v>
      </c>
      <c r="H119" s="3" t="s">
        <v>118</v>
      </c>
      <c r="I119" s="3" t="s">
        <v>119</v>
      </c>
      <c r="J119" s="3" t="s">
        <v>120</v>
      </c>
      <c r="K119" s="3" t="s">
        <v>121</v>
      </c>
      <c r="L119" s="3">
        <v>2022</v>
      </c>
      <c r="M119" s="3" t="s">
        <v>122</v>
      </c>
      <c r="N119" s="16">
        <v>44611</v>
      </c>
      <c r="O119" s="16">
        <v>44611</v>
      </c>
      <c r="P119" s="3">
        <v>4</v>
      </c>
      <c r="Q119" s="3"/>
    </row>
    <row r="120" spans="1:17" x14ac:dyDescent="0.25">
      <c r="A120" s="3">
        <v>119</v>
      </c>
      <c r="B120" s="3" t="s">
        <v>112</v>
      </c>
      <c r="C120" s="3" t="s">
        <v>380</v>
      </c>
      <c r="D120" s="3" t="s">
        <v>381</v>
      </c>
      <c r="E120" s="3" t="s">
        <v>169</v>
      </c>
      <c r="F120" s="3" t="s">
        <v>382</v>
      </c>
      <c r="G120" s="3" t="s">
        <v>372</v>
      </c>
      <c r="H120" s="3" t="s">
        <v>118</v>
      </c>
      <c r="I120" s="3" t="s">
        <v>119</v>
      </c>
      <c r="J120" s="3" t="s">
        <v>120</v>
      </c>
      <c r="K120" s="3" t="s">
        <v>121</v>
      </c>
      <c r="L120" s="3">
        <v>2022</v>
      </c>
      <c r="M120" s="3" t="s">
        <v>122</v>
      </c>
      <c r="N120" s="16">
        <v>44611</v>
      </c>
      <c r="O120" s="16">
        <v>44611</v>
      </c>
      <c r="P120" s="3">
        <v>4</v>
      </c>
      <c r="Q120" s="3"/>
    </row>
    <row r="121" spans="1:17" x14ac:dyDescent="0.25">
      <c r="A121" s="3">
        <v>120</v>
      </c>
      <c r="B121" s="3" t="s">
        <v>112</v>
      </c>
      <c r="C121" s="3" t="s">
        <v>383</v>
      </c>
      <c r="D121" s="3" t="s">
        <v>384</v>
      </c>
      <c r="E121" s="3" t="s">
        <v>169</v>
      </c>
      <c r="F121" s="3" t="s">
        <v>382</v>
      </c>
      <c r="G121" s="3" t="s">
        <v>372</v>
      </c>
      <c r="H121" s="3" t="s">
        <v>118</v>
      </c>
      <c r="I121" s="3" t="s">
        <v>119</v>
      </c>
      <c r="J121" s="3" t="s">
        <v>120</v>
      </c>
      <c r="K121" s="3" t="s">
        <v>121</v>
      </c>
      <c r="L121" s="3">
        <v>2022</v>
      </c>
      <c r="M121" s="3" t="s">
        <v>122</v>
      </c>
      <c r="N121" s="16">
        <v>44611</v>
      </c>
      <c r="O121" s="16">
        <v>44611</v>
      </c>
      <c r="P121" s="3">
        <v>4</v>
      </c>
      <c r="Q121" s="3"/>
    </row>
    <row r="122" spans="1:17" x14ac:dyDescent="0.25">
      <c r="A122" s="3">
        <v>121</v>
      </c>
      <c r="B122" s="3" t="s">
        <v>112</v>
      </c>
      <c r="C122" s="3" t="s">
        <v>385</v>
      </c>
      <c r="D122" s="3" t="s">
        <v>386</v>
      </c>
      <c r="E122" s="3" t="s">
        <v>169</v>
      </c>
      <c r="F122" s="3" t="s">
        <v>375</v>
      </c>
      <c r="G122" s="3" t="s">
        <v>372</v>
      </c>
      <c r="H122" s="3" t="s">
        <v>118</v>
      </c>
      <c r="I122" s="3" t="s">
        <v>119</v>
      </c>
      <c r="J122" s="3" t="s">
        <v>120</v>
      </c>
      <c r="K122" s="3" t="s">
        <v>121</v>
      </c>
      <c r="L122" s="3">
        <v>2022</v>
      </c>
      <c r="M122" s="3" t="s">
        <v>122</v>
      </c>
      <c r="N122" s="16">
        <v>44611</v>
      </c>
      <c r="O122" s="16">
        <v>44611</v>
      </c>
      <c r="P122" s="3">
        <v>4</v>
      </c>
      <c r="Q122" s="3"/>
    </row>
    <row r="123" spans="1:17" x14ac:dyDescent="0.25">
      <c r="A123" s="3">
        <v>122</v>
      </c>
      <c r="B123" s="3" t="s">
        <v>112</v>
      </c>
      <c r="C123" s="3" t="s">
        <v>387</v>
      </c>
      <c r="D123" s="3" t="s">
        <v>388</v>
      </c>
      <c r="E123" s="3" t="s">
        <v>169</v>
      </c>
      <c r="F123" s="3" t="s">
        <v>375</v>
      </c>
      <c r="G123" s="3" t="s">
        <v>372</v>
      </c>
      <c r="H123" s="3" t="s">
        <v>118</v>
      </c>
      <c r="I123" s="3" t="s">
        <v>119</v>
      </c>
      <c r="J123" s="3" t="s">
        <v>120</v>
      </c>
      <c r="K123" s="3" t="s">
        <v>121</v>
      </c>
      <c r="L123" s="3">
        <v>2022</v>
      </c>
      <c r="M123" s="3" t="s">
        <v>122</v>
      </c>
      <c r="N123" s="16">
        <v>44611</v>
      </c>
      <c r="O123" s="16">
        <v>44611</v>
      </c>
      <c r="P123" s="3">
        <v>4</v>
      </c>
      <c r="Q123" s="3"/>
    </row>
    <row r="124" spans="1:17" x14ac:dyDescent="0.25">
      <c r="A124" s="3">
        <v>123</v>
      </c>
      <c r="B124" s="3" t="s">
        <v>112</v>
      </c>
      <c r="C124" s="3" t="s">
        <v>389</v>
      </c>
      <c r="D124" s="3" t="s">
        <v>390</v>
      </c>
      <c r="E124" s="3" t="s">
        <v>169</v>
      </c>
      <c r="F124" s="3" t="s">
        <v>375</v>
      </c>
      <c r="G124" s="3" t="s">
        <v>372</v>
      </c>
      <c r="H124" s="3" t="s">
        <v>118</v>
      </c>
      <c r="I124" s="3" t="s">
        <v>119</v>
      </c>
      <c r="J124" s="3" t="s">
        <v>120</v>
      </c>
      <c r="K124" s="3" t="s">
        <v>121</v>
      </c>
      <c r="L124" s="3">
        <v>2022</v>
      </c>
      <c r="M124" s="3" t="s">
        <v>122</v>
      </c>
      <c r="N124" s="16">
        <v>44611</v>
      </c>
      <c r="O124" s="16">
        <v>44611</v>
      </c>
      <c r="P124" s="3">
        <v>4</v>
      </c>
      <c r="Q124" s="3"/>
    </row>
    <row r="125" spans="1:17" x14ac:dyDescent="0.25">
      <c r="A125" s="3">
        <v>124</v>
      </c>
      <c r="B125" s="3" t="s">
        <v>112</v>
      </c>
      <c r="C125" s="3" t="s">
        <v>391</v>
      </c>
      <c r="D125" s="3" t="s">
        <v>392</v>
      </c>
      <c r="E125" s="3" t="s">
        <v>169</v>
      </c>
      <c r="F125" s="3" t="s">
        <v>375</v>
      </c>
      <c r="G125" s="3" t="s">
        <v>372</v>
      </c>
      <c r="H125" s="3" t="s">
        <v>118</v>
      </c>
      <c r="I125" s="3" t="s">
        <v>119</v>
      </c>
      <c r="J125" s="3" t="s">
        <v>120</v>
      </c>
      <c r="K125" s="3" t="s">
        <v>121</v>
      </c>
      <c r="L125" s="3">
        <v>2022</v>
      </c>
      <c r="M125" s="3" t="s">
        <v>122</v>
      </c>
      <c r="N125" s="16">
        <v>44611</v>
      </c>
      <c r="O125" s="16">
        <v>44611</v>
      </c>
      <c r="P125" s="3">
        <v>4</v>
      </c>
      <c r="Q125" s="3"/>
    </row>
    <row r="126" spans="1:17" x14ac:dyDescent="0.25">
      <c r="A126" s="3">
        <v>125</v>
      </c>
      <c r="B126" s="3" t="s">
        <v>112</v>
      </c>
      <c r="C126" s="3" t="s">
        <v>393</v>
      </c>
      <c r="D126" s="3" t="s">
        <v>394</v>
      </c>
      <c r="E126" s="3" t="s">
        <v>169</v>
      </c>
      <c r="F126" s="3" t="s">
        <v>375</v>
      </c>
      <c r="G126" s="3" t="s">
        <v>372</v>
      </c>
      <c r="H126" s="3" t="s">
        <v>118</v>
      </c>
      <c r="I126" s="3" t="s">
        <v>119</v>
      </c>
      <c r="J126" s="3" t="s">
        <v>120</v>
      </c>
      <c r="K126" s="3" t="s">
        <v>121</v>
      </c>
      <c r="L126" s="3">
        <v>2022</v>
      </c>
      <c r="M126" s="3" t="s">
        <v>122</v>
      </c>
      <c r="N126" s="16">
        <v>44611</v>
      </c>
      <c r="O126" s="16">
        <v>44611</v>
      </c>
      <c r="P126" s="3">
        <v>4</v>
      </c>
      <c r="Q126" s="3"/>
    </row>
    <row r="127" spans="1:17" x14ac:dyDescent="0.25">
      <c r="A127" s="3">
        <v>126</v>
      </c>
      <c r="B127" s="3" t="s">
        <v>112</v>
      </c>
      <c r="C127" s="3" t="s">
        <v>395</v>
      </c>
      <c r="D127" s="3" t="s">
        <v>396</v>
      </c>
      <c r="E127" s="3" t="s">
        <v>169</v>
      </c>
      <c r="F127" s="3" t="s">
        <v>382</v>
      </c>
      <c r="G127" s="3" t="s">
        <v>372</v>
      </c>
      <c r="H127" s="3" t="s">
        <v>118</v>
      </c>
      <c r="I127" s="3" t="s">
        <v>119</v>
      </c>
      <c r="J127" s="3" t="s">
        <v>120</v>
      </c>
      <c r="K127" s="3" t="s">
        <v>121</v>
      </c>
      <c r="L127" s="3">
        <v>2022</v>
      </c>
      <c r="M127" s="3" t="s">
        <v>122</v>
      </c>
      <c r="N127" s="16">
        <v>44611</v>
      </c>
      <c r="O127" s="16">
        <v>44611</v>
      </c>
      <c r="P127" s="3">
        <v>4</v>
      </c>
      <c r="Q127" s="3"/>
    </row>
    <row r="128" spans="1:17" x14ac:dyDescent="0.25">
      <c r="A128" s="3">
        <v>127</v>
      </c>
      <c r="B128" s="3" t="s">
        <v>112</v>
      </c>
      <c r="C128" s="3" t="s">
        <v>397</v>
      </c>
      <c r="D128" s="3" t="s">
        <v>398</v>
      </c>
      <c r="E128" s="3" t="s">
        <v>169</v>
      </c>
      <c r="F128" s="3" t="s">
        <v>375</v>
      </c>
      <c r="G128" s="3" t="s">
        <v>372</v>
      </c>
      <c r="H128" s="3" t="s">
        <v>118</v>
      </c>
      <c r="I128" s="3" t="s">
        <v>119</v>
      </c>
      <c r="J128" s="3" t="s">
        <v>120</v>
      </c>
      <c r="K128" s="3" t="s">
        <v>121</v>
      </c>
      <c r="L128" s="3">
        <v>2022</v>
      </c>
      <c r="M128" s="3" t="s">
        <v>122</v>
      </c>
      <c r="N128" s="16">
        <v>44611</v>
      </c>
      <c r="O128" s="16">
        <v>44611</v>
      </c>
      <c r="P128" s="3">
        <v>4</v>
      </c>
      <c r="Q128" s="3"/>
    </row>
    <row r="129" spans="1:17" x14ac:dyDescent="0.25">
      <c r="A129" s="3">
        <v>128</v>
      </c>
      <c r="B129" s="3" t="s">
        <v>112</v>
      </c>
      <c r="C129" s="3" t="s">
        <v>399</v>
      </c>
      <c r="D129" s="3" t="s">
        <v>400</v>
      </c>
      <c r="E129" s="3" t="s">
        <v>169</v>
      </c>
      <c r="F129" s="3" t="s">
        <v>371</v>
      </c>
      <c r="G129" s="3" t="s">
        <v>372</v>
      </c>
      <c r="H129" s="3" t="s">
        <v>118</v>
      </c>
      <c r="I129" s="3" t="s">
        <v>119</v>
      </c>
      <c r="J129" s="3" t="s">
        <v>120</v>
      </c>
      <c r="K129" s="3" t="s">
        <v>121</v>
      </c>
      <c r="L129" s="3">
        <v>2022</v>
      </c>
      <c r="M129" s="3" t="s">
        <v>122</v>
      </c>
      <c r="N129" s="16">
        <v>44611</v>
      </c>
      <c r="O129" s="16">
        <v>44611</v>
      </c>
      <c r="P129" s="3">
        <v>4</v>
      </c>
      <c r="Q129" s="3"/>
    </row>
    <row r="130" spans="1:17" x14ac:dyDescent="0.25">
      <c r="A130" s="3">
        <v>129</v>
      </c>
      <c r="B130" s="3" t="s">
        <v>112</v>
      </c>
      <c r="C130" s="3" t="s">
        <v>401</v>
      </c>
      <c r="D130" s="3" t="s">
        <v>402</v>
      </c>
      <c r="E130" s="3" t="s">
        <v>169</v>
      </c>
      <c r="F130" s="3" t="s">
        <v>371</v>
      </c>
      <c r="G130" s="3" t="s">
        <v>372</v>
      </c>
      <c r="H130" s="3" t="s">
        <v>118</v>
      </c>
      <c r="I130" s="3" t="s">
        <v>119</v>
      </c>
      <c r="J130" s="3" t="s">
        <v>120</v>
      </c>
      <c r="K130" s="3" t="s">
        <v>121</v>
      </c>
      <c r="L130" s="3">
        <v>2022</v>
      </c>
      <c r="M130" s="3" t="s">
        <v>122</v>
      </c>
      <c r="N130" s="16">
        <v>44611</v>
      </c>
      <c r="O130" s="16">
        <v>44611</v>
      </c>
      <c r="P130" s="3">
        <v>4</v>
      </c>
      <c r="Q130" s="3"/>
    </row>
    <row r="131" spans="1:17" x14ac:dyDescent="0.25">
      <c r="A131" s="3">
        <v>130</v>
      </c>
      <c r="B131" s="3" t="s">
        <v>112</v>
      </c>
      <c r="C131" s="3" t="s">
        <v>403</v>
      </c>
      <c r="D131" s="3" t="s">
        <v>404</v>
      </c>
      <c r="E131" s="3" t="s">
        <v>169</v>
      </c>
      <c r="F131" s="3" t="s">
        <v>375</v>
      </c>
      <c r="G131" s="3" t="s">
        <v>372</v>
      </c>
      <c r="H131" s="3" t="s">
        <v>118</v>
      </c>
      <c r="I131" s="3" t="s">
        <v>119</v>
      </c>
      <c r="J131" s="3" t="s">
        <v>120</v>
      </c>
      <c r="K131" s="3" t="s">
        <v>121</v>
      </c>
      <c r="L131" s="3">
        <v>2022</v>
      </c>
      <c r="M131" s="3" t="s">
        <v>122</v>
      </c>
      <c r="N131" s="16">
        <v>44611</v>
      </c>
      <c r="O131" s="16">
        <v>44611</v>
      </c>
      <c r="P131" s="3">
        <v>4</v>
      </c>
      <c r="Q131" s="3"/>
    </row>
    <row r="132" spans="1:17" x14ac:dyDescent="0.25">
      <c r="A132" s="3">
        <v>131</v>
      </c>
      <c r="B132" s="3" t="s">
        <v>112</v>
      </c>
      <c r="C132" s="3" t="s">
        <v>405</v>
      </c>
      <c r="D132" s="3" t="s">
        <v>406</v>
      </c>
      <c r="E132" s="3" t="s">
        <v>407</v>
      </c>
      <c r="F132" s="3" t="s">
        <v>161</v>
      </c>
      <c r="G132" s="3" t="s">
        <v>117</v>
      </c>
      <c r="H132" s="3" t="s">
        <v>118</v>
      </c>
      <c r="I132" s="3" t="s">
        <v>119</v>
      </c>
      <c r="J132" s="3" t="s">
        <v>120</v>
      </c>
      <c r="K132" s="3" t="s">
        <v>408</v>
      </c>
      <c r="L132" s="3">
        <v>2022</v>
      </c>
      <c r="M132" s="3" t="s">
        <v>409</v>
      </c>
      <c r="N132" s="16">
        <v>44632</v>
      </c>
      <c r="O132" s="16">
        <v>44632</v>
      </c>
      <c r="P132" s="3">
        <v>4</v>
      </c>
      <c r="Q132" s="3"/>
    </row>
    <row r="133" spans="1:17" x14ac:dyDescent="0.25">
      <c r="A133" s="3">
        <v>132</v>
      </c>
      <c r="B133" s="3" t="s">
        <v>112</v>
      </c>
      <c r="C133" s="3" t="s">
        <v>410</v>
      </c>
      <c r="D133" s="3" t="s">
        <v>411</v>
      </c>
      <c r="E133" s="3" t="s">
        <v>407</v>
      </c>
      <c r="F133" s="3" t="s">
        <v>161</v>
      </c>
      <c r="G133" s="3" t="s">
        <v>117</v>
      </c>
      <c r="H133" s="3" t="s">
        <v>118</v>
      </c>
      <c r="I133" s="3" t="s">
        <v>119</v>
      </c>
      <c r="J133" s="3" t="s">
        <v>120</v>
      </c>
      <c r="K133" s="3" t="s">
        <v>408</v>
      </c>
      <c r="L133" s="3">
        <v>2022</v>
      </c>
      <c r="M133" s="3" t="s">
        <v>409</v>
      </c>
      <c r="N133" s="16">
        <v>44632</v>
      </c>
      <c r="O133" s="16">
        <v>44632</v>
      </c>
      <c r="P133" s="3">
        <v>4</v>
      </c>
      <c r="Q133" s="3"/>
    </row>
    <row r="134" spans="1:17" x14ac:dyDescent="0.25">
      <c r="A134" s="3">
        <v>133</v>
      </c>
      <c r="B134" s="3" t="s">
        <v>112</v>
      </c>
      <c r="C134" s="3" t="s">
        <v>412</v>
      </c>
      <c r="D134" s="3" t="s">
        <v>413</v>
      </c>
      <c r="E134" s="3" t="s">
        <v>407</v>
      </c>
      <c r="F134" s="3" t="s">
        <v>176</v>
      </c>
      <c r="G134" s="3" t="s">
        <v>117</v>
      </c>
      <c r="H134" s="3" t="s">
        <v>118</v>
      </c>
      <c r="I134" s="3" t="s">
        <v>119</v>
      </c>
      <c r="J134" s="3" t="s">
        <v>120</v>
      </c>
      <c r="K134" s="3" t="s">
        <v>408</v>
      </c>
      <c r="L134" s="3">
        <v>2022</v>
      </c>
      <c r="M134" s="3" t="s">
        <v>409</v>
      </c>
      <c r="N134" s="16">
        <v>44632</v>
      </c>
      <c r="O134" s="16">
        <v>44632</v>
      </c>
      <c r="P134" s="3">
        <v>4</v>
      </c>
      <c r="Q134" s="3"/>
    </row>
    <row r="135" spans="1:17" x14ac:dyDescent="0.25">
      <c r="A135" s="3">
        <v>134</v>
      </c>
      <c r="B135" s="3" t="s">
        <v>112</v>
      </c>
      <c r="C135" s="3" t="s">
        <v>414</v>
      </c>
      <c r="D135" s="3" t="s">
        <v>415</v>
      </c>
      <c r="E135" s="3" t="s">
        <v>416</v>
      </c>
      <c r="F135" s="3" t="s">
        <v>176</v>
      </c>
      <c r="G135" s="3" t="s">
        <v>117</v>
      </c>
      <c r="H135" s="3" t="s">
        <v>118</v>
      </c>
      <c r="I135" s="3" t="s">
        <v>119</v>
      </c>
      <c r="J135" s="3" t="s">
        <v>120</v>
      </c>
      <c r="K135" s="3" t="s">
        <v>408</v>
      </c>
      <c r="L135" s="3">
        <v>2022</v>
      </c>
      <c r="M135" s="3" t="s">
        <v>409</v>
      </c>
      <c r="N135" s="16">
        <v>44632</v>
      </c>
      <c r="O135" s="16">
        <v>44632</v>
      </c>
      <c r="P135" s="3">
        <v>4</v>
      </c>
      <c r="Q135" s="3"/>
    </row>
    <row r="136" spans="1:17" x14ac:dyDescent="0.25">
      <c r="A136" s="3">
        <v>135</v>
      </c>
      <c r="B136" s="3" t="s">
        <v>112</v>
      </c>
      <c r="C136" s="3" t="s">
        <v>417</v>
      </c>
      <c r="D136" s="3" t="s">
        <v>418</v>
      </c>
      <c r="E136" s="3" t="s">
        <v>407</v>
      </c>
      <c r="F136" s="3" t="s">
        <v>176</v>
      </c>
      <c r="G136" s="3" t="s">
        <v>117</v>
      </c>
      <c r="H136" s="3" t="s">
        <v>118</v>
      </c>
      <c r="I136" s="3" t="s">
        <v>119</v>
      </c>
      <c r="J136" s="3" t="s">
        <v>120</v>
      </c>
      <c r="K136" s="3" t="s">
        <v>408</v>
      </c>
      <c r="L136" s="3">
        <v>2022</v>
      </c>
      <c r="M136" s="3" t="s">
        <v>409</v>
      </c>
      <c r="N136" s="16">
        <v>44632</v>
      </c>
      <c r="O136" s="16">
        <v>44632</v>
      </c>
      <c r="P136" s="3">
        <v>4</v>
      </c>
      <c r="Q136" s="3"/>
    </row>
    <row r="137" spans="1:17" x14ac:dyDescent="0.25">
      <c r="A137" s="3">
        <v>136</v>
      </c>
      <c r="B137" s="3" t="s">
        <v>112</v>
      </c>
      <c r="C137" s="3" t="s">
        <v>419</v>
      </c>
      <c r="D137" s="3" t="s">
        <v>420</v>
      </c>
      <c r="E137" s="3" t="s">
        <v>407</v>
      </c>
      <c r="F137" s="3" t="s">
        <v>176</v>
      </c>
      <c r="G137" s="3" t="s">
        <v>117</v>
      </c>
      <c r="H137" s="3" t="s">
        <v>118</v>
      </c>
      <c r="I137" s="3" t="s">
        <v>119</v>
      </c>
      <c r="J137" s="3" t="s">
        <v>120</v>
      </c>
      <c r="K137" s="3" t="s">
        <v>408</v>
      </c>
      <c r="L137" s="3">
        <v>2022</v>
      </c>
      <c r="M137" s="3" t="s">
        <v>409</v>
      </c>
      <c r="N137" s="16">
        <v>44632</v>
      </c>
      <c r="O137" s="16">
        <v>44632</v>
      </c>
      <c r="P137" s="3">
        <v>4</v>
      </c>
      <c r="Q137" s="3"/>
    </row>
    <row r="138" spans="1:17" x14ac:dyDescent="0.25">
      <c r="A138" s="3">
        <v>137</v>
      </c>
      <c r="B138" s="3" t="s">
        <v>112</v>
      </c>
      <c r="C138" s="3" t="s">
        <v>421</v>
      </c>
      <c r="D138" s="3" t="s">
        <v>422</v>
      </c>
      <c r="E138" s="3" t="s">
        <v>407</v>
      </c>
      <c r="F138" s="3" t="s">
        <v>116</v>
      </c>
      <c r="G138" s="3" t="s">
        <v>117</v>
      </c>
      <c r="H138" s="3" t="s">
        <v>118</v>
      </c>
      <c r="I138" s="3" t="s">
        <v>119</v>
      </c>
      <c r="J138" s="3" t="s">
        <v>120</v>
      </c>
      <c r="K138" s="3" t="s">
        <v>408</v>
      </c>
      <c r="L138" s="3">
        <v>2022</v>
      </c>
      <c r="M138" s="3" t="s">
        <v>409</v>
      </c>
      <c r="N138" s="16">
        <v>44639</v>
      </c>
      <c r="O138" s="16">
        <v>44639</v>
      </c>
      <c r="P138" s="3">
        <v>4</v>
      </c>
      <c r="Q138" s="3"/>
    </row>
    <row r="139" spans="1:17" x14ac:dyDescent="0.25">
      <c r="A139" s="3">
        <v>138</v>
      </c>
      <c r="B139" s="3" t="s">
        <v>112</v>
      </c>
      <c r="C139" s="3" t="s">
        <v>423</v>
      </c>
      <c r="D139" s="3" t="s">
        <v>424</v>
      </c>
      <c r="E139" s="3" t="s">
        <v>407</v>
      </c>
      <c r="F139" s="3" t="s">
        <v>116</v>
      </c>
      <c r="G139" s="3" t="s">
        <v>117</v>
      </c>
      <c r="H139" s="3" t="s">
        <v>118</v>
      </c>
      <c r="I139" s="3" t="s">
        <v>119</v>
      </c>
      <c r="J139" s="3" t="s">
        <v>120</v>
      </c>
      <c r="K139" s="3" t="s">
        <v>408</v>
      </c>
      <c r="L139" s="3">
        <v>2022</v>
      </c>
      <c r="M139" s="3" t="s">
        <v>409</v>
      </c>
      <c r="N139" s="16">
        <v>44639</v>
      </c>
      <c r="O139" s="16">
        <v>44639</v>
      </c>
      <c r="P139" s="3">
        <v>4</v>
      </c>
      <c r="Q139" s="3"/>
    </row>
    <row r="140" spans="1:17" x14ac:dyDescent="0.25">
      <c r="A140" s="3">
        <v>139</v>
      </c>
      <c r="B140" s="3" t="s">
        <v>112</v>
      </c>
      <c r="C140" s="3" t="s">
        <v>425</v>
      </c>
      <c r="D140" s="3" t="s">
        <v>426</v>
      </c>
      <c r="E140" s="3" t="s">
        <v>407</v>
      </c>
      <c r="F140" s="3" t="s">
        <v>116</v>
      </c>
      <c r="G140" s="3" t="s">
        <v>117</v>
      </c>
      <c r="H140" s="3" t="s">
        <v>118</v>
      </c>
      <c r="I140" s="3" t="s">
        <v>119</v>
      </c>
      <c r="J140" s="3" t="s">
        <v>120</v>
      </c>
      <c r="K140" s="3" t="s">
        <v>408</v>
      </c>
      <c r="L140" s="3">
        <v>2022</v>
      </c>
      <c r="M140" s="3" t="s">
        <v>409</v>
      </c>
      <c r="N140" s="16">
        <v>44639</v>
      </c>
      <c r="O140" s="16">
        <v>44639</v>
      </c>
      <c r="P140" s="3">
        <v>4</v>
      </c>
      <c r="Q140" s="3"/>
    </row>
    <row r="141" spans="1:17" x14ac:dyDescent="0.25">
      <c r="A141" s="3">
        <v>140</v>
      </c>
      <c r="B141" s="3" t="s">
        <v>112</v>
      </c>
      <c r="C141" s="3" t="s">
        <v>427</v>
      </c>
      <c r="D141" s="3" t="s">
        <v>428</v>
      </c>
      <c r="E141" s="3" t="s">
        <v>407</v>
      </c>
      <c r="F141" s="3" t="s">
        <v>145</v>
      </c>
      <c r="G141" s="3" t="s">
        <v>117</v>
      </c>
      <c r="H141" s="3" t="s">
        <v>118</v>
      </c>
      <c r="I141" s="3" t="s">
        <v>119</v>
      </c>
      <c r="J141" s="3" t="s">
        <v>120</v>
      </c>
      <c r="K141" s="3" t="s">
        <v>408</v>
      </c>
      <c r="L141" s="3">
        <v>2022</v>
      </c>
      <c r="M141" s="3" t="s">
        <v>409</v>
      </c>
      <c r="N141" s="16">
        <v>44639</v>
      </c>
      <c r="O141" s="16">
        <v>44639</v>
      </c>
      <c r="P141" s="3">
        <v>4</v>
      </c>
      <c r="Q141" s="3"/>
    </row>
    <row r="142" spans="1:17" x14ac:dyDescent="0.25">
      <c r="A142" s="3">
        <v>141</v>
      </c>
      <c r="B142" s="3" t="s">
        <v>112</v>
      </c>
      <c r="C142" s="3" t="s">
        <v>429</v>
      </c>
      <c r="D142" s="3" t="s">
        <v>430</v>
      </c>
      <c r="E142" s="3" t="s">
        <v>407</v>
      </c>
      <c r="F142" s="3" t="s">
        <v>145</v>
      </c>
      <c r="G142" s="3" t="s">
        <v>117</v>
      </c>
      <c r="H142" s="3" t="s">
        <v>118</v>
      </c>
      <c r="I142" s="3" t="s">
        <v>119</v>
      </c>
      <c r="J142" s="3" t="s">
        <v>120</v>
      </c>
      <c r="K142" s="3" t="s">
        <v>408</v>
      </c>
      <c r="L142" s="3">
        <v>2022</v>
      </c>
      <c r="M142" s="3" t="s">
        <v>409</v>
      </c>
      <c r="N142" s="16">
        <v>44639</v>
      </c>
      <c r="O142" s="16">
        <v>44639</v>
      </c>
      <c r="P142" s="3">
        <v>4</v>
      </c>
      <c r="Q142" s="3"/>
    </row>
    <row r="143" spans="1:17" x14ac:dyDescent="0.25">
      <c r="A143" s="3">
        <v>142</v>
      </c>
      <c r="B143" s="3" t="s">
        <v>112</v>
      </c>
      <c r="C143" s="3" t="s">
        <v>431</v>
      </c>
      <c r="D143" s="3" t="s">
        <v>432</v>
      </c>
      <c r="E143" s="3" t="s">
        <v>407</v>
      </c>
      <c r="F143" s="3" t="s">
        <v>337</v>
      </c>
      <c r="G143" s="3" t="s">
        <v>198</v>
      </c>
      <c r="H143" s="3" t="s">
        <v>118</v>
      </c>
      <c r="I143" s="3" t="s">
        <v>119</v>
      </c>
      <c r="J143" s="3" t="s">
        <v>120</v>
      </c>
      <c r="K143" s="3" t="s">
        <v>408</v>
      </c>
      <c r="L143" s="3">
        <v>2022</v>
      </c>
      <c r="M143" s="3" t="s">
        <v>433</v>
      </c>
      <c r="N143" s="16">
        <v>44660</v>
      </c>
      <c r="O143" s="16">
        <v>44660</v>
      </c>
      <c r="P143" s="3">
        <v>4</v>
      </c>
      <c r="Q143" s="3"/>
    </row>
    <row r="144" spans="1:17" x14ac:dyDescent="0.25">
      <c r="A144" s="3">
        <v>143</v>
      </c>
      <c r="B144" s="3" t="s">
        <v>112</v>
      </c>
      <c r="C144" s="3" t="s">
        <v>434</v>
      </c>
      <c r="D144" s="3" t="s">
        <v>435</v>
      </c>
      <c r="E144" s="3" t="s">
        <v>416</v>
      </c>
      <c r="F144" s="3" t="s">
        <v>238</v>
      </c>
      <c r="G144" s="3" t="s">
        <v>198</v>
      </c>
      <c r="H144" s="3" t="s">
        <v>118</v>
      </c>
      <c r="I144" s="3" t="s">
        <v>119</v>
      </c>
      <c r="J144" s="3" t="s">
        <v>120</v>
      </c>
      <c r="K144" s="3" t="s">
        <v>408</v>
      </c>
      <c r="L144" s="3">
        <v>2022</v>
      </c>
      <c r="M144" s="3" t="s">
        <v>433</v>
      </c>
      <c r="N144" s="16">
        <v>44660</v>
      </c>
      <c r="O144" s="16">
        <v>44660</v>
      </c>
      <c r="P144" s="3">
        <v>4</v>
      </c>
      <c r="Q144" s="3"/>
    </row>
    <row r="145" spans="1:17" x14ac:dyDescent="0.25">
      <c r="A145" s="3">
        <v>144</v>
      </c>
      <c r="B145" s="3" t="s">
        <v>112</v>
      </c>
      <c r="C145" s="3" t="s">
        <v>436</v>
      </c>
      <c r="D145" s="3" t="s">
        <v>437</v>
      </c>
      <c r="E145" s="3" t="s">
        <v>407</v>
      </c>
      <c r="F145" s="3" t="s">
        <v>238</v>
      </c>
      <c r="G145" s="3" t="s">
        <v>198</v>
      </c>
      <c r="H145" s="3" t="s">
        <v>118</v>
      </c>
      <c r="I145" s="3" t="s">
        <v>119</v>
      </c>
      <c r="J145" s="3" t="s">
        <v>120</v>
      </c>
      <c r="K145" s="3" t="s">
        <v>408</v>
      </c>
      <c r="L145" s="3">
        <v>2022</v>
      </c>
      <c r="M145" s="3" t="s">
        <v>433</v>
      </c>
      <c r="N145" s="16">
        <v>44660</v>
      </c>
      <c r="O145" s="16">
        <v>44660</v>
      </c>
      <c r="P145" s="3">
        <v>4</v>
      </c>
      <c r="Q145" s="3"/>
    </row>
    <row r="146" spans="1:17" x14ac:dyDescent="0.25">
      <c r="A146" s="3">
        <v>145</v>
      </c>
      <c r="B146" s="3" t="s">
        <v>112</v>
      </c>
      <c r="C146" s="3" t="s">
        <v>438</v>
      </c>
      <c r="D146" s="3" t="s">
        <v>439</v>
      </c>
      <c r="E146" s="3" t="s">
        <v>407</v>
      </c>
      <c r="F146" s="3" t="s">
        <v>238</v>
      </c>
      <c r="G146" s="3" t="s">
        <v>198</v>
      </c>
      <c r="H146" s="3" t="s">
        <v>118</v>
      </c>
      <c r="I146" s="3" t="s">
        <v>119</v>
      </c>
      <c r="J146" s="3" t="s">
        <v>120</v>
      </c>
      <c r="K146" s="3" t="s">
        <v>408</v>
      </c>
      <c r="L146" s="3">
        <v>2022</v>
      </c>
      <c r="M146" s="3" t="s">
        <v>433</v>
      </c>
      <c r="N146" s="16">
        <v>44660</v>
      </c>
      <c r="O146" s="16">
        <v>44660</v>
      </c>
      <c r="P146" s="3">
        <v>4</v>
      </c>
      <c r="Q146" s="3"/>
    </row>
    <row r="147" spans="1:17" x14ac:dyDescent="0.25">
      <c r="A147" s="3">
        <v>146</v>
      </c>
      <c r="B147" s="3" t="s">
        <v>112</v>
      </c>
      <c r="C147" s="3" t="s">
        <v>440</v>
      </c>
      <c r="D147" s="3" t="s">
        <v>441</v>
      </c>
      <c r="E147" s="3" t="s">
        <v>407</v>
      </c>
      <c r="F147" s="3" t="s">
        <v>257</v>
      </c>
      <c r="G147" s="3" t="s">
        <v>198</v>
      </c>
      <c r="H147" s="3" t="s">
        <v>118</v>
      </c>
      <c r="I147" s="3" t="s">
        <v>119</v>
      </c>
      <c r="J147" s="3" t="s">
        <v>120</v>
      </c>
      <c r="K147" s="3" t="s">
        <v>408</v>
      </c>
      <c r="L147" s="3">
        <v>2022</v>
      </c>
      <c r="M147" s="3" t="s">
        <v>433</v>
      </c>
      <c r="N147" s="16">
        <v>44660</v>
      </c>
      <c r="O147" s="16">
        <v>44660</v>
      </c>
      <c r="P147" s="3">
        <v>4</v>
      </c>
      <c r="Q147" s="3"/>
    </row>
    <row r="148" spans="1:17" x14ac:dyDescent="0.25">
      <c r="A148" s="3">
        <v>147</v>
      </c>
      <c r="B148" s="3" t="s">
        <v>112</v>
      </c>
      <c r="C148" s="3" t="s">
        <v>442</v>
      </c>
      <c r="D148" s="3" t="s">
        <v>443</v>
      </c>
      <c r="E148" s="3" t="s">
        <v>407</v>
      </c>
      <c r="F148" s="3" t="s">
        <v>293</v>
      </c>
      <c r="G148" s="3" t="s">
        <v>294</v>
      </c>
      <c r="H148" s="3" t="s">
        <v>118</v>
      </c>
      <c r="I148" s="3" t="s">
        <v>119</v>
      </c>
      <c r="J148" s="3" t="s">
        <v>120</v>
      </c>
      <c r="K148" s="3" t="s">
        <v>408</v>
      </c>
      <c r="L148" s="3">
        <v>2022</v>
      </c>
      <c r="M148" s="3" t="s">
        <v>433</v>
      </c>
      <c r="N148" s="16">
        <v>44670</v>
      </c>
      <c r="O148" s="16">
        <v>44670</v>
      </c>
      <c r="P148" s="3">
        <v>4</v>
      </c>
      <c r="Q148" s="3"/>
    </row>
    <row r="149" spans="1:17" x14ac:dyDescent="0.25">
      <c r="A149" s="3">
        <v>148</v>
      </c>
      <c r="B149" s="3" t="s">
        <v>112</v>
      </c>
      <c r="C149" s="3" t="s">
        <v>444</v>
      </c>
      <c r="D149" s="3" t="s">
        <v>445</v>
      </c>
      <c r="E149" s="3" t="s">
        <v>407</v>
      </c>
      <c r="F149" s="3" t="s">
        <v>293</v>
      </c>
      <c r="G149" s="3" t="s">
        <v>294</v>
      </c>
      <c r="H149" s="3" t="s">
        <v>118</v>
      </c>
      <c r="I149" s="3" t="s">
        <v>119</v>
      </c>
      <c r="J149" s="3" t="s">
        <v>120</v>
      </c>
      <c r="K149" s="3" t="s">
        <v>408</v>
      </c>
      <c r="L149" s="3">
        <v>2022</v>
      </c>
      <c r="M149" s="3" t="s">
        <v>433</v>
      </c>
      <c r="N149" s="16">
        <v>44670</v>
      </c>
      <c r="O149" s="16">
        <v>44670</v>
      </c>
      <c r="P149" s="3">
        <v>4</v>
      </c>
      <c r="Q149" s="3"/>
    </row>
    <row r="150" spans="1:17" x14ac:dyDescent="0.25">
      <c r="A150" s="3">
        <v>149</v>
      </c>
      <c r="B150" s="3" t="s">
        <v>112</v>
      </c>
      <c r="C150" s="3" t="s">
        <v>446</v>
      </c>
      <c r="D150" s="3" t="s">
        <v>447</v>
      </c>
      <c r="E150" s="3" t="s">
        <v>448</v>
      </c>
      <c r="F150" s="3" t="s">
        <v>305</v>
      </c>
      <c r="G150" s="3" t="s">
        <v>294</v>
      </c>
      <c r="H150" s="3" t="s">
        <v>118</v>
      </c>
      <c r="I150" s="3" t="s">
        <v>119</v>
      </c>
      <c r="J150" s="3" t="s">
        <v>120</v>
      </c>
      <c r="K150" s="3" t="s">
        <v>408</v>
      </c>
      <c r="L150" s="3">
        <v>2022</v>
      </c>
      <c r="M150" s="3" t="s">
        <v>433</v>
      </c>
      <c r="N150" s="16">
        <v>44670</v>
      </c>
      <c r="O150" s="16">
        <v>44670</v>
      </c>
      <c r="P150" s="3">
        <v>4</v>
      </c>
      <c r="Q150" s="3"/>
    </row>
    <row r="151" spans="1:17" x14ac:dyDescent="0.25">
      <c r="A151" s="3">
        <v>150</v>
      </c>
      <c r="B151" s="3" t="s">
        <v>112</v>
      </c>
      <c r="C151" s="3" t="s">
        <v>449</v>
      </c>
      <c r="D151" s="3" t="s">
        <v>450</v>
      </c>
      <c r="E151" s="3" t="s">
        <v>407</v>
      </c>
      <c r="F151" s="3" t="s">
        <v>305</v>
      </c>
      <c r="G151" s="3" t="s">
        <v>294</v>
      </c>
      <c r="H151" s="3" t="s">
        <v>118</v>
      </c>
      <c r="I151" s="3" t="s">
        <v>119</v>
      </c>
      <c r="J151" s="3" t="s">
        <v>120</v>
      </c>
      <c r="K151" s="3" t="s">
        <v>408</v>
      </c>
      <c r="L151" s="3">
        <v>2022</v>
      </c>
      <c r="M151" s="3" t="s">
        <v>433</v>
      </c>
      <c r="N151" s="16">
        <v>44670</v>
      </c>
      <c r="O151" s="16">
        <v>44670</v>
      </c>
      <c r="P151" s="3">
        <v>4</v>
      </c>
      <c r="Q151" s="3"/>
    </row>
    <row r="152" spans="1:17" x14ac:dyDescent="0.25">
      <c r="A152" s="3">
        <v>151</v>
      </c>
      <c r="B152" s="3" t="s">
        <v>112</v>
      </c>
      <c r="C152" s="3" t="s">
        <v>451</v>
      </c>
      <c r="D152" s="3" t="s">
        <v>452</v>
      </c>
      <c r="E152" s="3" t="s">
        <v>407</v>
      </c>
      <c r="F152" s="3" t="s">
        <v>305</v>
      </c>
      <c r="G152" s="3" t="s">
        <v>294</v>
      </c>
      <c r="H152" s="3" t="s">
        <v>118</v>
      </c>
      <c r="I152" s="3" t="s">
        <v>119</v>
      </c>
      <c r="J152" s="3" t="s">
        <v>120</v>
      </c>
      <c r="K152" s="3" t="s">
        <v>408</v>
      </c>
      <c r="L152" s="3">
        <v>2022</v>
      </c>
      <c r="M152" s="3" t="s">
        <v>433</v>
      </c>
      <c r="N152" s="16">
        <v>44670</v>
      </c>
      <c r="O152" s="16">
        <v>44670</v>
      </c>
      <c r="P152" s="3">
        <v>4</v>
      </c>
      <c r="Q152" s="3"/>
    </row>
    <row r="153" spans="1:17" x14ac:dyDescent="0.25">
      <c r="A153" s="3">
        <v>152</v>
      </c>
      <c r="B153" s="3" t="s">
        <v>112</v>
      </c>
      <c r="C153" s="3" t="s">
        <v>453</v>
      </c>
      <c r="D153" s="3" t="s">
        <v>454</v>
      </c>
      <c r="E153" s="3" t="s">
        <v>407</v>
      </c>
      <c r="F153" s="3" t="s">
        <v>305</v>
      </c>
      <c r="G153" s="3" t="s">
        <v>294</v>
      </c>
      <c r="H153" s="3" t="s">
        <v>118</v>
      </c>
      <c r="I153" s="3" t="s">
        <v>119</v>
      </c>
      <c r="J153" s="3" t="s">
        <v>120</v>
      </c>
      <c r="K153" s="3" t="s">
        <v>408</v>
      </c>
      <c r="L153" s="3">
        <v>2022</v>
      </c>
      <c r="M153" s="3" t="s">
        <v>433</v>
      </c>
      <c r="N153" s="16">
        <v>44670</v>
      </c>
      <c r="O153" s="16">
        <v>44670</v>
      </c>
      <c r="P153" s="3">
        <v>4</v>
      </c>
      <c r="Q153" s="3"/>
    </row>
    <row r="154" spans="1:17" x14ac:dyDescent="0.25">
      <c r="A154" s="3">
        <v>153</v>
      </c>
      <c r="B154" s="3" t="s">
        <v>112</v>
      </c>
      <c r="C154" s="3" t="s">
        <v>455</v>
      </c>
      <c r="D154" s="3" t="s">
        <v>456</v>
      </c>
      <c r="E154" s="3" t="s">
        <v>416</v>
      </c>
      <c r="F154" s="3" t="s">
        <v>324</v>
      </c>
      <c r="G154" s="3" t="s">
        <v>294</v>
      </c>
      <c r="H154" s="3" t="s">
        <v>118</v>
      </c>
      <c r="I154" s="3" t="s">
        <v>119</v>
      </c>
      <c r="J154" s="3" t="s">
        <v>120</v>
      </c>
      <c r="K154" s="3" t="s">
        <v>408</v>
      </c>
      <c r="L154" s="3">
        <v>2022</v>
      </c>
      <c r="M154" s="3" t="s">
        <v>433</v>
      </c>
      <c r="N154" s="16">
        <v>44670</v>
      </c>
      <c r="O154" s="16">
        <v>44670</v>
      </c>
      <c r="P154" s="3">
        <v>4</v>
      </c>
      <c r="Q154" s="3"/>
    </row>
    <row r="155" spans="1:17" x14ac:dyDescent="0.25">
      <c r="A155" s="3">
        <v>154</v>
      </c>
      <c r="B155" s="3" t="s">
        <v>112</v>
      </c>
      <c r="C155" s="3" t="s">
        <v>457</v>
      </c>
      <c r="D155" s="3" t="s">
        <v>458</v>
      </c>
      <c r="E155" s="3" t="s">
        <v>448</v>
      </c>
      <c r="F155" s="3" t="s">
        <v>371</v>
      </c>
      <c r="G155" s="3" t="s">
        <v>372</v>
      </c>
      <c r="H155" s="3" t="s">
        <v>118</v>
      </c>
      <c r="I155" s="3" t="s">
        <v>119</v>
      </c>
      <c r="J155" s="3" t="s">
        <v>120</v>
      </c>
      <c r="K155" s="3" t="s">
        <v>408</v>
      </c>
      <c r="L155" s="3">
        <v>2022</v>
      </c>
      <c r="M155" s="3" t="s">
        <v>433</v>
      </c>
      <c r="N155" s="16">
        <v>44670</v>
      </c>
      <c r="O155" s="16">
        <v>44670</v>
      </c>
      <c r="P155" s="3">
        <v>4</v>
      </c>
      <c r="Q155" s="3"/>
    </row>
    <row r="156" spans="1:17" x14ac:dyDescent="0.25">
      <c r="A156" s="3">
        <v>155</v>
      </c>
      <c r="B156" s="3" t="s">
        <v>112</v>
      </c>
      <c r="C156" s="3" t="s">
        <v>459</v>
      </c>
      <c r="D156" s="3" t="s">
        <v>460</v>
      </c>
      <c r="E156" s="3" t="s">
        <v>416</v>
      </c>
      <c r="F156" s="3" t="s">
        <v>382</v>
      </c>
      <c r="G156" s="3" t="s">
        <v>372</v>
      </c>
      <c r="H156" s="3" t="s">
        <v>118</v>
      </c>
      <c r="I156" s="3" t="s">
        <v>119</v>
      </c>
      <c r="J156" s="3" t="s">
        <v>120</v>
      </c>
      <c r="K156" s="3" t="s">
        <v>408</v>
      </c>
      <c r="L156" s="3">
        <v>2022</v>
      </c>
      <c r="M156" s="3" t="s">
        <v>433</v>
      </c>
      <c r="N156" s="16">
        <v>44670</v>
      </c>
      <c r="O156" s="16">
        <v>44670</v>
      </c>
      <c r="P156" s="3">
        <v>4</v>
      </c>
      <c r="Q156" s="3"/>
    </row>
    <row r="157" spans="1:17" x14ac:dyDescent="0.25">
      <c r="A157" s="3">
        <v>156</v>
      </c>
      <c r="B157" s="3" t="s">
        <v>112</v>
      </c>
      <c r="C157" s="3" t="s">
        <v>461</v>
      </c>
      <c r="D157" s="3" t="s">
        <v>462</v>
      </c>
      <c r="E157" s="3" t="s">
        <v>407</v>
      </c>
      <c r="F157" s="3" t="s">
        <v>375</v>
      </c>
      <c r="G157" s="3" t="s">
        <v>372</v>
      </c>
      <c r="H157" s="3" t="s">
        <v>118</v>
      </c>
      <c r="I157" s="3" t="s">
        <v>119</v>
      </c>
      <c r="J157" s="3" t="s">
        <v>120</v>
      </c>
      <c r="K157" s="3" t="s">
        <v>408</v>
      </c>
      <c r="L157" s="3">
        <v>2022</v>
      </c>
      <c r="M157" s="3" t="s">
        <v>433</v>
      </c>
      <c r="N157" s="16">
        <v>44670</v>
      </c>
      <c r="O157" s="16">
        <v>44670</v>
      </c>
      <c r="P157" s="3">
        <v>4</v>
      </c>
      <c r="Q157" s="3"/>
    </row>
    <row r="158" spans="1:17" x14ac:dyDescent="0.25">
      <c r="A158" s="3">
        <v>157</v>
      </c>
      <c r="B158" s="3" t="s">
        <v>112</v>
      </c>
      <c r="C158" s="3" t="s">
        <v>463</v>
      </c>
      <c r="D158" s="3" t="s">
        <v>464</v>
      </c>
      <c r="E158" s="3" t="s">
        <v>416</v>
      </c>
      <c r="F158" s="3" t="s">
        <v>371</v>
      </c>
      <c r="G158" s="3" t="s">
        <v>372</v>
      </c>
      <c r="H158" s="3" t="s">
        <v>118</v>
      </c>
      <c r="I158" s="3" t="s">
        <v>119</v>
      </c>
      <c r="J158" s="3" t="s">
        <v>120</v>
      </c>
      <c r="K158" s="3" t="s">
        <v>408</v>
      </c>
      <c r="L158" s="3">
        <v>2022</v>
      </c>
      <c r="M158" s="3" t="s">
        <v>433</v>
      </c>
      <c r="N158" s="16">
        <v>44670</v>
      </c>
      <c r="O158" s="16">
        <v>44670</v>
      </c>
      <c r="P158" s="3">
        <v>4</v>
      </c>
      <c r="Q158" s="3"/>
    </row>
    <row r="159" spans="1:17" x14ac:dyDescent="0.25">
      <c r="A159" s="3">
        <v>158</v>
      </c>
      <c r="B159" s="3" t="s">
        <v>112</v>
      </c>
      <c r="C159" s="3" t="s">
        <v>465</v>
      </c>
      <c r="D159" s="3" t="s">
        <v>466</v>
      </c>
      <c r="E159" s="3" t="s">
        <v>407</v>
      </c>
      <c r="F159" s="3" t="s">
        <v>375</v>
      </c>
      <c r="G159" s="3" t="s">
        <v>372</v>
      </c>
      <c r="H159" s="3" t="s">
        <v>118</v>
      </c>
      <c r="I159" s="3" t="s">
        <v>119</v>
      </c>
      <c r="J159" s="3" t="s">
        <v>120</v>
      </c>
      <c r="K159" s="3" t="s">
        <v>408</v>
      </c>
      <c r="L159" s="3">
        <v>2022</v>
      </c>
      <c r="M159" s="3" t="s">
        <v>433</v>
      </c>
      <c r="N159" s="16">
        <v>44670</v>
      </c>
      <c r="O159" s="16">
        <v>44670</v>
      </c>
      <c r="P159" s="3">
        <v>4</v>
      </c>
      <c r="Q159" s="3"/>
    </row>
    <row r="160" spans="1:17" x14ac:dyDescent="0.25">
      <c r="A160" s="3">
        <v>159</v>
      </c>
      <c r="B160" s="3" t="s">
        <v>112</v>
      </c>
      <c r="C160" s="3" t="s">
        <v>467</v>
      </c>
      <c r="D160" s="3" t="s">
        <v>468</v>
      </c>
      <c r="E160" s="3" t="s">
        <v>448</v>
      </c>
      <c r="F160" s="3" t="s">
        <v>382</v>
      </c>
      <c r="G160" s="3" t="s">
        <v>372</v>
      </c>
      <c r="H160" s="3" t="s">
        <v>118</v>
      </c>
      <c r="I160" s="3" t="s">
        <v>119</v>
      </c>
      <c r="J160" s="3" t="s">
        <v>120</v>
      </c>
      <c r="K160" s="3" t="s">
        <v>408</v>
      </c>
      <c r="L160" s="3">
        <v>2022</v>
      </c>
      <c r="M160" s="3" t="s">
        <v>433</v>
      </c>
      <c r="N160" s="16">
        <v>44670</v>
      </c>
      <c r="O160" s="16">
        <v>44670</v>
      </c>
      <c r="P160" s="3">
        <v>4</v>
      </c>
      <c r="Q160" s="3"/>
    </row>
    <row r="161" spans="1:17" x14ac:dyDescent="0.25">
      <c r="A161" s="3">
        <v>160</v>
      </c>
      <c r="B161" s="3" t="s">
        <v>112</v>
      </c>
      <c r="C161" s="3" t="s">
        <v>469</v>
      </c>
      <c r="D161" s="3" t="s">
        <v>470</v>
      </c>
      <c r="E161" s="3" t="s">
        <v>407</v>
      </c>
      <c r="F161" s="3" t="s">
        <v>270</v>
      </c>
      <c r="G161" s="3" t="s">
        <v>271</v>
      </c>
      <c r="H161" s="3" t="s">
        <v>118</v>
      </c>
      <c r="I161" s="3" t="s">
        <v>119</v>
      </c>
      <c r="J161" s="3" t="s">
        <v>120</v>
      </c>
      <c r="K161" s="3" t="s">
        <v>408</v>
      </c>
      <c r="L161" s="3">
        <v>2022</v>
      </c>
      <c r="M161" s="3" t="s">
        <v>433</v>
      </c>
      <c r="N161" s="16">
        <v>44673</v>
      </c>
      <c r="O161" s="16">
        <v>44673</v>
      </c>
      <c r="P161" s="3">
        <v>4</v>
      </c>
      <c r="Q161" s="3"/>
    </row>
    <row r="162" spans="1:17" x14ac:dyDescent="0.25">
      <c r="A162" s="3">
        <v>161</v>
      </c>
      <c r="B162" s="3" t="s">
        <v>112</v>
      </c>
      <c r="C162" s="3" t="s">
        <v>471</v>
      </c>
      <c r="D162" s="3" t="s">
        <v>472</v>
      </c>
      <c r="E162" s="3" t="s">
        <v>407</v>
      </c>
      <c r="F162" s="3" t="s">
        <v>270</v>
      </c>
      <c r="G162" s="3" t="s">
        <v>271</v>
      </c>
      <c r="H162" s="3" t="s">
        <v>118</v>
      </c>
      <c r="I162" s="3" t="s">
        <v>119</v>
      </c>
      <c r="J162" s="3" t="s">
        <v>120</v>
      </c>
      <c r="K162" s="3" t="s">
        <v>408</v>
      </c>
      <c r="L162" s="3">
        <v>2022</v>
      </c>
      <c r="M162" s="3" t="s">
        <v>433</v>
      </c>
      <c r="N162" s="16">
        <v>44673</v>
      </c>
      <c r="O162" s="16">
        <v>44673</v>
      </c>
      <c r="P162" s="3">
        <v>4</v>
      </c>
      <c r="Q162" s="3"/>
    </row>
    <row r="163" spans="1:17" x14ac:dyDescent="0.25">
      <c r="A163" s="3">
        <v>162</v>
      </c>
      <c r="B163" s="3" t="s">
        <v>112</v>
      </c>
      <c r="C163" s="3" t="s">
        <v>473</v>
      </c>
      <c r="D163" s="3" t="s">
        <v>474</v>
      </c>
      <c r="E163" s="3" t="s">
        <v>407</v>
      </c>
      <c r="F163" s="3" t="s">
        <v>270</v>
      </c>
      <c r="G163" s="3" t="s">
        <v>271</v>
      </c>
      <c r="H163" s="3" t="s">
        <v>118</v>
      </c>
      <c r="I163" s="3" t="s">
        <v>119</v>
      </c>
      <c r="J163" s="3" t="s">
        <v>120</v>
      </c>
      <c r="K163" s="3" t="s">
        <v>408</v>
      </c>
      <c r="L163" s="3">
        <v>2022</v>
      </c>
      <c r="M163" s="3" t="s">
        <v>433</v>
      </c>
      <c r="N163" s="16">
        <v>44673</v>
      </c>
      <c r="O163" s="16">
        <v>44673</v>
      </c>
      <c r="P163" s="3">
        <v>4</v>
      </c>
      <c r="Q163" s="3"/>
    </row>
    <row r="164" spans="1:17" x14ac:dyDescent="0.25">
      <c r="A164" s="3">
        <v>163</v>
      </c>
      <c r="B164" s="3" t="s">
        <v>112</v>
      </c>
      <c r="C164" s="3" t="s">
        <v>475</v>
      </c>
      <c r="D164" s="3" t="s">
        <v>476</v>
      </c>
      <c r="E164" s="3" t="s">
        <v>407</v>
      </c>
      <c r="F164" s="3" t="s">
        <v>270</v>
      </c>
      <c r="G164" s="3" t="s">
        <v>271</v>
      </c>
      <c r="H164" s="3" t="s">
        <v>118</v>
      </c>
      <c r="I164" s="3" t="s">
        <v>119</v>
      </c>
      <c r="J164" s="3" t="s">
        <v>120</v>
      </c>
      <c r="K164" s="3" t="s">
        <v>408</v>
      </c>
      <c r="L164" s="3">
        <v>2022</v>
      </c>
      <c r="M164" s="3" t="s">
        <v>433</v>
      </c>
      <c r="N164" s="16">
        <v>44673</v>
      </c>
      <c r="O164" s="16">
        <v>44673</v>
      </c>
      <c r="P164" s="3">
        <v>4</v>
      </c>
      <c r="Q164" s="3"/>
    </row>
    <row r="165" spans="1:17" x14ac:dyDescent="0.25">
      <c r="A165" s="3">
        <v>164</v>
      </c>
      <c r="B165" s="3" t="s">
        <v>112</v>
      </c>
      <c r="C165" s="3" t="s">
        <v>477</v>
      </c>
      <c r="D165" s="3" t="s">
        <v>478</v>
      </c>
      <c r="E165" s="3" t="s">
        <v>407</v>
      </c>
      <c r="F165" s="3" t="s">
        <v>354</v>
      </c>
      <c r="G165" s="3" t="s">
        <v>271</v>
      </c>
      <c r="H165" s="3" t="s">
        <v>118</v>
      </c>
      <c r="I165" s="3" t="s">
        <v>119</v>
      </c>
      <c r="J165" s="3" t="s">
        <v>120</v>
      </c>
      <c r="K165" s="3" t="s">
        <v>408</v>
      </c>
      <c r="L165" s="3">
        <v>2022</v>
      </c>
      <c r="M165" s="3" t="s">
        <v>433</v>
      </c>
      <c r="N165" s="16">
        <v>44673</v>
      </c>
      <c r="O165" s="16">
        <v>44673</v>
      </c>
      <c r="P165" s="3">
        <v>4</v>
      </c>
      <c r="Q165" s="3"/>
    </row>
    <row r="166" spans="1:17" x14ac:dyDescent="0.25">
      <c r="A166" s="3">
        <v>165</v>
      </c>
      <c r="B166" s="3" t="s">
        <v>112</v>
      </c>
      <c r="C166" s="3" t="s">
        <v>479</v>
      </c>
      <c r="D166" s="3" t="s">
        <v>480</v>
      </c>
      <c r="E166" s="3" t="s">
        <v>407</v>
      </c>
      <c r="F166" s="3" t="s">
        <v>354</v>
      </c>
      <c r="G166" s="3" t="s">
        <v>271</v>
      </c>
      <c r="H166" s="3" t="s">
        <v>118</v>
      </c>
      <c r="I166" s="3" t="s">
        <v>119</v>
      </c>
      <c r="J166" s="3" t="s">
        <v>120</v>
      </c>
      <c r="K166" s="3" t="s">
        <v>408</v>
      </c>
      <c r="L166" s="3">
        <v>2022</v>
      </c>
      <c r="M166" s="3" t="s">
        <v>433</v>
      </c>
      <c r="N166" s="16">
        <v>44673</v>
      </c>
      <c r="O166" s="16">
        <v>44673</v>
      </c>
      <c r="P166" s="3">
        <v>4</v>
      </c>
      <c r="Q166" s="3"/>
    </row>
    <row r="167" spans="1:17" x14ac:dyDescent="0.25">
      <c r="A167" s="3">
        <v>166</v>
      </c>
      <c r="B167" s="3" t="s">
        <v>112</v>
      </c>
      <c r="C167" s="3" t="s">
        <v>481</v>
      </c>
      <c r="D167" s="3" t="s">
        <v>482</v>
      </c>
      <c r="E167" s="3" t="s">
        <v>407</v>
      </c>
      <c r="F167" s="3" t="s">
        <v>354</v>
      </c>
      <c r="G167" s="3" t="s">
        <v>271</v>
      </c>
      <c r="H167" s="3" t="s">
        <v>118</v>
      </c>
      <c r="I167" s="3" t="s">
        <v>119</v>
      </c>
      <c r="J167" s="3" t="s">
        <v>120</v>
      </c>
      <c r="K167" s="3" t="s">
        <v>408</v>
      </c>
      <c r="L167" s="3">
        <v>2022</v>
      </c>
      <c r="M167" s="3" t="s">
        <v>433</v>
      </c>
      <c r="N167" s="16">
        <v>44673</v>
      </c>
      <c r="O167" s="16">
        <v>44673</v>
      </c>
      <c r="P167" s="3">
        <v>4</v>
      </c>
      <c r="Q167" s="3"/>
    </row>
    <row r="168" spans="1:17" x14ac:dyDescent="0.25">
      <c r="A168" s="3">
        <v>167</v>
      </c>
      <c r="B168" s="3" t="s">
        <v>112</v>
      </c>
      <c r="C168" s="3" t="s">
        <v>483</v>
      </c>
      <c r="D168" s="3" t="s">
        <v>484</v>
      </c>
      <c r="E168" s="3" t="s">
        <v>407</v>
      </c>
      <c r="F168" s="3" t="s">
        <v>197</v>
      </c>
      <c r="G168" s="3" t="s">
        <v>198</v>
      </c>
      <c r="H168" s="3" t="s">
        <v>118</v>
      </c>
      <c r="I168" s="3" t="s">
        <v>119</v>
      </c>
      <c r="J168" s="3" t="s">
        <v>120</v>
      </c>
      <c r="K168" s="3" t="s">
        <v>408</v>
      </c>
      <c r="L168" s="3">
        <v>2022</v>
      </c>
      <c r="M168" s="3" t="s">
        <v>433</v>
      </c>
      <c r="N168" s="16">
        <v>44674</v>
      </c>
      <c r="O168" s="16">
        <v>44674</v>
      </c>
      <c r="P168" s="3">
        <v>4</v>
      </c>
      <c r="Q168" s="3"/>
    </row>
    <row r="169" spans="1:17" x14ac:dyDescent="0.25">
      <c r="A169" s="3">
        <v>168</v>
      </c>
      <c r="B169" s="3" t="s">
        <v>112</v>
      </c>
      <c r="C169" s="3" t="s">
        <v>485</v>
      </c>
      <c r="D169" s="3" t="s">
        <v>486</v>
      </c>
      <c r="E169" s="3" t="s">
        <v>407</v>
      </c>
      <c r="F169" s="3" t="s">
        <v>197</v>
      </c>
      <c r="G169" s="3" t="s">
        <v>198</v>
      </c>
      <c r="H169" s="3" t="s">
        <v>118</v>
      </c>
      <c r="I169" s="3" t="s">
        <v>119</v>
      </c>
      <c r="J169" s="3" t="s">
        <v>120</v>
      </c>
      <c r="K169" s="3" t="s">
        <v>408</v>
      </c>
      <c r="L169" s="3">
        <v>2022</v>
      </c>
      <c r="M169" s="3" t="s">
        <v>433</v>
      </c>
      <c r="N169" s="16">
        <v>44674</v>
      </c>
      <c r="O169" s="16">
        <v>44674</v>
      </c>
      <c r="P169" s="3">
        <v>4</v>
      </c>
      <c r="Q169" s="3"/>
    </row>
    <row r="170" spans="1:17" x14ac:dyDescent="0.25">
      <c r="A170" s="3">
        <v>169</v>
      </c>
      <c r="B170" s="3" t="s">
        <v>112</v>
      </c>
      <c r="C170" s="3" t="s">
        <v>487</v>
      </c>
      <c r="D170" s="3" t="s">
        <v>488</v>
      </c>
      <c r="E170" s="3" t="s">
        <v>407</v>
      </c>
      <c r="F170" s="3" t="s">
        <v>197</v>
      </c>
      <c r="G170" s="3" t="s">
        <v>198</v>
      </c>
      <c r="H170" s="3" t="s">
        <v>118</v>
      </c>
      <c r="I170" s="3" t="s">
        <v>119</v>
      </c>
      <c r="J170" s="3" t="s">
        <v>120</v>
      </c>
      <c r="K170" s="3" t="s">
        <v>408</v>
      </c>
      <c r="L170" s="3">
        <v>2022</v>
      </c>
      <c r="M170" s="3" t="s">
        <v>433</v>
      </c>
      <c r="N170" s="16">
        <v>44674</v>
      </c>
      <c r="O170" s="16">
        <v>44674</v>
      </c>
      <c r="P170" s="3">
        <v>4</v>
      </c>
      <c r="Q170" s="3"/>
    </row>
    <row r="171" spans="1:17" x14ac:dyDescent="0.25">
      <c r="A171" s="3">
        <v>170</v>
      </c>
      <c r="B171" s="3" t="s">
        <v>112</v>
      </c>
      <c r="C171" s="3" t="s">
        <v>489</v>
      </c>
      <c r="D171" s="3" t="s">
        <v>490</v>
      </c>
      <c r="E171" s="3" t="s">
        <v>407</v>
      </c>
      <c r="F171" s="3" t="s">
        <v>215</v>
      </c>
      <c r="G171" s="3" t="s">
        <v>198</v>
      </c>
      <c r="H171" s="3" t="s">
        <v>118</v>
      </c>
      <c r="I171" s="3" t="s">
        <v>119</v>
      </c>
      <c r="J171" s="3" t="s">
        <v>120</v>
      </c>
      <c r="K171" s="3" t="s">
        <v>408</v>
      </c>
      <c r="L171" s="3">
        <v>2022</v>
      </c>
      <c r="M171" s="3" t="s">
        <v>433</v>
      </c>
      <c r="N171" s="16">
        <v>44674</v>
      </c>
      <c r="O171" s="16">
        <v>44674</v>
      </c>
      <c r="P171" s="3">
        <v>4</v>
      </c>
      <c r="Q171" s="3"/>
    </row>
    <row r="172" spans="1:17" x14ac:dyDescent="0.25">
      <c r="A172" s="3">
        <v>171</v>
      </c>
      <c r="B172" s="3" t="s">
        <v>112</v>
      </c>
      <c r="C172" s="3" t="s">
        <v>491</v>
      </c>
      <c r="D172" s="3" t="s">
        <v>492</v>
      </c>
      <c r="E172" s="3" t="s">
        <v>407</v>
      </c>
      <c r="F172" s="3" t="s">
        <v>215</v>
      </c>
      <c r="G172" s="3" t="s">
        <v>198</v>
      </c>
      <c r="H172" s="3" t="s">
        <v>118</v>
      </c>
      <c r="I172" s="3" t="s">
        <v>119</v>
      </c>
      <c r="J172" s="3" t="s">
        <v>120</v>
      </c>
      <c r="K172" s="3" t="s">
        <v>408</v>
      </c>
      <c r="L172" s="3">
        <v>2022</v>
      </c>
      <c r="M172" s="3" t="s">
        <v>433</v>
      </c>
      <c r="N172" s="16">
        <v>44674</v>
      </c>
      <c r="O172" s="16">
        <v>44674</v>
      </c>
      <c r="P172" s="3">
        <v>4</v>
      </c>
      <c r="Q172" s="3"/>
    </row>
    <row r="173" spans="1:17" x14ac:dyDescent="0.25">
      <c r="A173" s="3">
        <v>172</v>
      </c>
      <c r="B173" s="3" t="s">
        <v>112</v>
      </c>
      <c r="C173" s="3" t="s">
        <v>493</v>
      </c>
      <c r="D173" s="3" t="s">
        <v>494</v>
      </c>
      <c r="E173" s="3" t="s">
        <v>407</v>
      </c>
      <c r="F173" s="3" t="s">
        <v>215</v>
      </c>
      <c r="G173" s="3" t="s">
        <v>198</v>
      </c>
      <c r="H173" s="3" t="s">
        <v>118</v>
      </c>
      <c r="I173" s="3" t="s">
        <v>119</v>
      </c>
      <c r="J173" s="3" t="s">
        <v>120</v>
      </c>
      <c r="K173" s="3" t="s">
        <v>408</v>
      </c>
      <c r="L173" s="3">
        <v>2022</v>
      </c>
      <c r="M173" s="3" t="s">
        <v>433</v>
      </c>
      <c r="N173" s="16">
        <v>44674</v>
      </c>
      <c r="O173" s="16">
        <v>44674</v>
      </c>
      <c r="P173" s="3">
        <v>4</v>
      </c>
      <c r="Q173" s="3"/>
    </row>
    <row r="174" spans="1:17" x14ac:dyDescent="0.25">
      <c r="A174" s="3">
        <v>173</v>
      </c>
      <c r="B174" s="3" t="s">
        <v>112</v>
      </c>
      <c r="C174" s="3" t="s">
        <v>495</v>
      </c>
      <c r="D174" s="3" t="s">
        <v>496</v>
      </c>
      <c r="E174" s="3" t="s">
        <v>407</v>
      </c>
      <c r="F174" s="3" t="s">
        <v>337</v>
      </c>
      <c r="G174" s="3" t="s">
        <v>198</v>
      </c>
      <c r="H174" s="3" t="s">
        <v>118</v>
      </c>
      <c r="I174" s="3" t="s">
        <v>119</v>
      </c>
      <c r="J174" s="3" t="s">
        <v>120</v>
      </c>
      <c r="K174" s="3" t="s">
        <v>408</v>
      </c>
      <c r="L174" s="3">
        <v>2022</v>
      </c>
      <c r="M174" s="3" t="s">
        <v>433</v>
      </c>
      <c r="N174" s="16">
        <v>44674</v>
      </c>
      <c r="O174" s="16">
        <v>44674</v>
      </c>
      <c r="P174" s="3">
        <v>4</v>
      </c>
      <c r="Q174" s="3"/>
    </row>
    <row r="175" spans="1:17" x14ac:dyDescent="0.25">
      <c r="A175" s="3">
        <v>174</v>
      </c>
      <c r="B175" s="3" t="s">
        <v>112</v>
      </c>
      <c r="C175" s="3" t="s">
        <v>497</v>
      </c>
      <c r="D175" s="3" t="s">
        <v>498</v>
      </c>
      <c r="E175" s="3" t="s">
        <v>407</v>
      </c>
      <c r="F175" s="3" t="s">
        <v>337</v>
      </c>
      <c r="G175" s="3" t="s">
        <v>198</v>
      </c>
      <c r="H175" s="3" t="s">
        <v>118</v>
      </c>
      <c r="I175" s="3" t="s">
        <v>119</v>
      </c>
      <c r="J175" s="3" t="s">
        <v>120</v>
      </c>
      <c r="K175" s="3" t="s">
        <v>408</v>
      </c>
      <c r="L175" s="3">
        <v>2022</v>
      </c>
      <c r="M175" s="3" t="s">
        <v>433</v>
      </c>
      <c r="N175" s="16">
        <v>44674</v>
      </c>
      <c r="O175" s="16">
        <v>44674</v>
      </c>
      <c r="P175" s="3">
        <v>4</v>
      </c>
      <c r="Q175" s="3"/>
    </row>
    <row r="176" spans="1:17" x14ac:dyDescent="0.25">
      <c r="A176" s="3">
        <v>175</v>
      </c>
      <c r="B176" s="3" t="s">
        <v>112</v>
      </c>
      <c r="C176" s="3" t="s">
        <v>499</v>
      </c>
      <c r="D176" s="3" t="s">
        <v>500</v>
      </c>
      <c r="E176" s="3" t="s">
        <v>501</v>
      </c>
      <c r="F176" s="3" t="s">
        <v>116</v>
      </c>
      <c r="G176" s="3" t="s">
        <v>117</v>
      </c>
      <c r="H176" s="3" t="s">
        <v>118</v>
      </c>
      <c r="I176" s="3" t="s">
        <v>502</v>
      </c>
      <c r="J176" s="3" t="s">
        <v>120</v>
      </c>
      <c r="K176" s="3" t="s">
        <v>503</v>
      </c>
      <c r="L176" s="3">
        <v>2022</v>
      </c>
      <c r="M176" s="3" t="s">
        <v>504</v>
      </c>
      <c r="N176" s="16">
        <v>44701</v>
      </c>
      <c r="O176" s="16">
        <v>44701</v>
      </c>
      <c r="P176" s="3">
        <v>5</v>
      </c>
      <c r="Q176" s="3"/>
    </row>
    <row r="177" spans="1:17" x14ac:dyDescent="0.25">
      <c r="A177" s="3">
        <v>176</v>
      </c>
      <c r="B177" s="3" t="s">
        <v>112</v>
      </c>
      <c r="C177" s="3" t="s">
        <v>505</v>
      </c>
      <c r="D177" s="3" t="s">
        <v>506</v>
      </c>
      <c r="E177" s="3" t="s">
        <v>507</v>
      </c>
      <c r="F177" s="3" t="s">
        <v>145</v>
      </c>
      <c r="G177" s="3" t="s">
        <v>117</v>
      </c>
      <c r="H177" s="3" t="s">
        <v>118</v>
      </c>
      <c r="I177" s="3" t="s">
        <v>502</v>
      </c>
      <c r="J177" s="3" t="s">
        <v>120</v>
      </c>
      <c r="K177" s="3" t="s">
        <v>503</v>
      </c>
      <c r="L177" s="3">
        <v>2022</v>
      </c>
      <c r="M177" s="3" t="s">
        <v>504</v>
      </c>
      <c r="N177" s="16">
        <v>44701</v>
      </c>
      <c r="O177" s="16">
        <v>44701</v>
      </c>
      <c r="P177" s="3">
        <v>5</v>
      </c>
      <c r="Q177" s="3"/>
    </row>
    <row r="178" spans="1:17" x14ac:dyDescent="0.25">
      <c r="A178" s="3">
        <v>177</v>
      </c>
      <c r="B178" s="3" t="s">
        <v>112</v>
      </c>
      <c r="C178" s="3" t="s">
        <v>508</v>
      </c>
      <c r="D178" s="3" t="s">
        <v>509</v>
      </c>
      <c r="E178" s="3" t="s">
        <v>501</v>
      </c>
      <c r="F178" s="3" t="s">
        <v>161</v>
      </c>
      <c r="G178" s="3" t="s">
        <v>117</v>
      </c>
      <c r="H178" s="3" t="s">
        <v>118</v>
      </c>
      <c r="I178" s="3" t="s">
        <v>502</v>
      </c>
      <c r="J178" s="3" t="s">
        <v>120</v>
      </c>
      <c r="K178" s="3" t="s">
        <v>503</v>
      </c>
      <c r="L178" s="3">
        <v>2022</v>
      </c>
      <c r="M178" s="3" t="s">
        <v>504</v>
      </c>
      <c r="N178" s="16">
        <v>44701</v>
      </c>
      <c r="O178" s="16">
        <v>44701</v>
      </c>
      <c r="P178" s="3">
        <v>5</v>
      </c>
      <c r="Q178" s="3"/>
    </row>
    <row r="179" spans="1:17" x14ac:dyDescent="0.25">
      <c r="A179" s="3">
        <v>178</v>
      </c>
      <c r="B179" s="3" t="s">
        <v>112</v>
      </c>
      <c r="C179" s="3" t="s">
        <v>510</v>
      </c>
      <c r="D179" s="3" t="s">
        <v>511</v>
      </c>
      <c r="E179" s="3" t="s">
        <v>501</v>
      </c>
      <c r="F179" s="3" t="s">
        <v>176</v>
      </c>
      <c r="G179" s="3" t="s">
        <v>117</v>
      </c>
      <c r="H179" s="3" t="s">
        <v>118</v>
      </c>
      <c r="I179" s="3" t="s">
        <v>502</v>
      </c>
      <c r="J179" s="3" t="s">
        <v>120</v>
      </c>
      <c r="K179" s="3" t="s">
        <v>503</v>
      </c>
      <c r="L179" s="3">
        <v>2022</v>
      </c>
      <c r="M179" s="3" t="s">
        <v>504</v>
      </c>
      <c r="N179" s="16">
        <v>44701</v>
      </c>
      <c r="O179" s="16">
        <v>44701</v>
      </c>
      <c r="P179" s="3">
        <v>5</v>
      </c>
      <c r="Q179" s="3"/>
    </row>
    <row r="180" spans="1:17" x14ac:dyDescent="0.25">
      <c r="A180" s="3">
        <v>179</v>
      </c>
      <c r="B180" s="3" t="s">
        <v>112</v>
      </c>
      <c r="C180" s="3" t="s">
        <v>512</v>
      </c>
      <c r="D180" s="3" t="s">
        <v>513</v>
      </c>
      <c r="E180" s="3" t="s">
        <v>514</v>
      </c>
      <c r="F180" s="3" t="s">
        <v>176</v>
      </c>
      <c r="G180" s="3" t="s">
        <v>117</v>
      </c>
      <c r="H180" s="3" t="s">
        <v>118</v>
      </c>
      <c r="I180" s="3" t="s">
        <v>502</v>
      </c>
      <c r="J180" s="3" t="s">
        <v>120</v>
      </c>
      <c r="K180" s="3" t="s">
        <v>503</v>
      </c>
      <c r="L180" s="3">
        <v>2022</v>
      </c>
      <c r="M180" s="3" t="s">
        <v>504</v>
      </c>
      <c r="N180" s="16">
        <v>44701</v>
      </c>
      <c r="O180" s="16">
        <v>44701</v>
      </c>
      <c r="P180" s="3">
        <v>5</v>
      </c>
      <c r="Q180" s="3"/>
    </row>
    <row r="181" spans="1:17" x14ac:dyDescent="0.25">
      <c r="A181" s="3">
        <v>180</v>
      </c>
      <c r="B181" s="3" t="s">
        <v>112</v>
      </c>
      <c r="C181" s="3" t="s">
        <v>515</v>
      </c>
      <c r="D181" s="3" t="s">
        <v>516</v>
      </c>
      <c r="E181" s="3" t="s">
        <v>507</v>
      </c>
      <c r="F181" s="3" t="s">
        <v>517</v>
      </c>
      <c r="G181" s="3" t="s">
        <v>117</v>
      </c>
      <c r="H181" s="3" t="s">
        <v>118</v>
      </c>
      <c r="I181" s="3" t="s">
        <v>502</v>
      </c>
      <c r="J181" s="3" t="s">
        <v>120</v>
      </c>
      <c r="K181" s="3" t="s">
        <v>503</v>
      </c>
      <c r="L181" s="3">
        <v>2022</v>
      </c>
      <c r="M181" s="3" t="s">
        <v>504</v>
      </c>
      <c r="N181" s="16">
        <v>44701</v>
      </c>
      <c r="O181" s="16">
        <v>44701</v>
      </c>
      <c r="P181" s="3">
        <v>5</v>
      </c>
      <c r="Q181" s="3"/>
    </row>
    <row r="182" spans="1:17" x14ac:dyDescent="0.25">
      <c r="A182" s="3">
        <v>181</v>
      </c>
      <c r="B182" s="3" t="s">
        <v>112</v>
      </c>
      <c r="C182" s="3" t="s">
        <v>518</v>
      </c>
      <c r="D182" s="3" t="s">
        <v>519</v>
      </c>
      <c r="E182" s="3" t="s">
        <v>520</v>
      </c>
      <c r="F182" s="3" t="s">
        <v>290</v>
      </c>
      <c r="G182" s="3" t="s">
        <v>117</v>
      </c>
      <c r="H182" s="3" t="s">
        <v>118</v>
      </c>
      <c r="I182" s="3" t="s">
        <v>502</v>
      </c>
      <c r="J182" s="3" t="s">
        <v>120</v>
      </c>
      <c r="K182" s="3" t="s">
        <v>503</v>
      </c>
      <c r="L182" s="3">
        <v>2022</v>
      </c>
      <c r="M182" s="3" t="s">
        <v>504</v>
      </c>
      <c r="N182" s="16">
        <v>44701</v>
      </c>
      <c r="O182" s="16">
        <v>44701</v>
      </c>
      <c r="P182" s="3">
        <v>5</v>
      </c>
      <c r="Q182" s="3"/>
    </row>
    <row r="183" spans="1:17" x14ac:dyDescent="0.25">
      <c r="A183" s="3">
        <v>182</v>
      </c>
      <c r="B183" s="3" t="s">
        <v>112</v>
      </c>
      <c r="C183" s="3" t="s">
        <v>521</v>
      </c>
      <c r="D183" s="3" t="s">
        <v>522</v>
      </c>
      <c r="E183" s="3" t="s">
        <v>523</v>
      </c>
      <c r="F183" s="3" t="s">
        <v>293</v>
      </c>
      <c r="G183" s="3" t="s">
        <v>294</v>
      </c>
      <c r="H183" s="3" t="s">
        <v>118</v>
      </c>
      <c r="I183" s="3" t="s">
        <v>502</v>
      </c>
      <c r="J183" s="3" t="s">
        <v>120</v>
      </c>
      <c r="K183" s="3" t="s">
        <v>503</v>
      </c>
      <c r="L183" s="3">
        <v>2022</v>
      </c>
      <c r="M183" s="3" t="s">
        <v>504</v>
      </c>
      <c r="N183" s="16">
        <v>44701</v>
      </c>
      <c r="O183" s="16">
        <v>44701</v>
      </c>
      <c r="P183" s="3">
        <v>5</v>
      </c>
      <c r="Q183" s="3"/>
    </row>
    <row r="184" spans="1:17" x14ac:dyDescent="0.25">
      <c r="A184" s="3">
        <v>183</v>
      </c>
      <c r="B184" s="3" t="s">
        <v>112</v>
      </c>
      <c r="C184" s="3" t="s">
        <v>524</v>
      </c>
      <c r="D184" s="3" t="s">
        <v>525</v>
      </c>
      <c r="E184" s="3" t="s">
        <v>501</v>
      </c>
      <c r="F184" s="3" t="s">
        <v>293</v>
      </c>
      <c r="G184" s="3" t="s">
        <v>294</v>
      </c>
      <c r="H184" s="3" t="s">
        <v>118</v>
      </c>
      <c r="I184" s="3" t="s">
        <v>502</v>
      </c>
      <c r="J184" s="3" t="s">
        <v>120</v>
      </c>
      <c r="K184" s="3" t="s">
        <v>503</v>
      </c>
      <c r="L184" s="3">
        <v>2022</v>
      </c>
      <c r="M184" s="3" t="s">
        <v>504</v>
      </c>
      <c r="N184" s="16">
        <v>44701</v>
      </c>
      <c r="O184" s="16">
        <v>44701</v>
      </c>
      <c r="P184" s="3">
        <v>5</v>
      </c>
      <c r="Q184" s="3"/>
    </row>
    <row r="185" spans="1:17" x14ac:dyDescent="0.25">
      <c r="A185" s="3">
        <v>184</v>
      </c>
      <c r="B185" s="3" t="s">
        <v>112</v>
      </c>
      <c r="C185" s="3" t="s">
        <v>526</v>
      </c>
      <c r="D185" s="3" t="s">
        <v>527</v>
      </c>
      <c r="E185" s="3" t="s">
        <v>501</v>
      </c>
      <c r="F185" s="3" t="s">
        <v>305</v>
      </c>
      <c r="G185" s="3" t="s">
        <v>294</v>
      </c>
      <c r="H185" s="3" t="s">
        <v>118</v>
      </c>
      <c r="I185" s="3" t="s">
        <v>502</v>
      </c>
      <c r="J185" s="3" t="s">
        <v>120</v>
      </c>
      <c r="K185" s="3" t="s">
        <v>503</v>
      </c>
      <c r="L185" s="3">
        <v>2022</v>
      </c>
      <c r="M185" s="3" t="s">
        <v>504</v>
      </c>
      <c r="N185" s="16">
        <v>44701</v>
      </c>
      <c r="O185" s="16">
        <v>44701</v>
      </c>
      <c r="P185" s="3">
        <v>5</v>
      </c>
      <c r="Q185" s="3"/>
    </row>
    <row r="186" spans="1:17" x14ac:dyDescent="0.25">
      <c r="A186" s="3">
        <v>185</v>
      </c>
      <c r="B186" s="3" t="s">
        <v>112</v>
      </c>
      <c r="C186" s="3" t="s">
        <v>528</v>
      </c>
      <c r="D186" s="3" t="s">
        <v>529</v>
      </c>
      <c r="E186" s="3" t="s">
        <v>520</v>
      </c>
      <c r="F186" s="3" t="s">
        <v>324</v>
      </c>
      <c r="G186" s="3" t="s">
        <v>294</v>
      </c>
      <c r="H186" s="3" t="s">
        <v>118</v>
      </c>
      <c r="I186" s="3" t="s">
        <v>502</v>
      </c>
      <c r="J186" s="3" t="s">
        <v>120</v>
      </c>
      <c r="K186" s="3" t="s">
        <v>503</v>
      </c>
      <c r="L186" s="3">
        <v>2022</v>
      </c>
      <c r="M186" s="3" t="s">
        <v>504</v>
      </c>
      <c r="N186" s="16">
        <v>44701</v>
      </c>
      <c r="O186" s="16">
        <v>44701</v>
      </c>
      <c r="P186" s="3">
        <v>5</v>
      </c>
      <c r="Q186" s="3"/>
    </row>
    <row r="187" spans="1:17" x14ac:dyDescent="0.25">
      <c r="A187" s="3">
        <v>186</v>
      </c>
      <c r="B187" s="3" t="s">
        <v>112</v>
      </c>
      <c r="C187" s="3" t="s">
        <v>530</v>
      </c>
      <c r="D187" s="3" t="s">
        <v>531</v>
      </c>
      <c r="E187" s="3" t="s">
        <v>501</v>
      </c>
      <c r="F187" s="3" t="s">
        <v>197</v>
      </c>
      <c r="G187" s="3" t="s">
        <v>198</v>
      </c>
      <c r="H187" s="3" t="s">
        <v>118</v>
      </c>
      <c r="I187" s="3" t="s">
        <v>502</v>
      </c>
      <c r="J187" s="3" t="s">
        <v>120</v>
      </c>
      <c r="K187" s="3" t="s">
        <v>503</v>
      </c>
      <c r="L187" s="3">
        <v>2022</v>
      </c>
      <c r="M187" s="3" t="s">
        <v>504</v>
      </c>
      <c r="N187" s="16">
        <v>44701</v>
      </c>
      <c r="O187" s="16">
        <v>44701</v>
      </c>
      <c r="P187" s="3">
        <v>5</v>
      </c>
      <c r="Q187" s="3"/>
    </row>
    <row r="188" spans="1:17" x14ac:dyDescent="0.25">
      <c r="A188" s="3">
        <v>187</v>
      </c>
      <c r="B188" s="3" t="s">
        <v>112</v>
      </c>
      <c r="C188" s="3" t="s">
        <v>532</v>
      </c>
      <c r="D188" s="3" t="s">
        <v>533</v>
      </c>
      <c r="E188" s="3" t="s">
        <v>501</v>
      </c>
      <c r="F188" s="3" t="s">
        <v>215</v>
      </c>
      <c r="G188" s="3" t="s">
        <v>198</v>
      </c>
      <c r="H188" s="3" t="s">
        <v>118</v>
      </c>
      <c r="I188" s="3" t="s">
        <v>502</v>
      </c>
      <c r="J188" s="3" t="s">
        <v>120</v>
      </c>
      <c r="K188" s="3" t="s">
        <v>503</v>
      </c>
      <c r="L188" s="3">
        <v>2022</v>
      </c>
      <c r="M188" s="3" t="s">
        <v>504</v>
      </c>
      <c r="N188" s="16">
        <v>44701</v>
      </c>
      <c r="O188" s="16">
        <v>44701</v>
      </c>
      <c r="P188" s="3">
        <v>5</v>
      </c>
      <c r="Q188" s="3"/>
    </row>
    <row r="189" spans="1:17" x14ac:dyDescent="0.25">
      <c r="A189" s="3">
        <v>188</v>
      </c>
      <c r="B189" s="3" t="s">
        <v>112</v>
      </c>
      <c r="C189" s="3" t="s">
        <v>534</v>
      </c>
      <c r="D189" s="3" t="s">
        <v>535</v>
      </c>
      <c r="E189" s="3" t="s">
        <v>501</v>
      </c>
      <c r="F189" s="3" t="s">
        <v>337</v>
      </c>
      <c r="G189" s="3" t="s">
        <v>198</v>
      </c>
      <c r="H189" s="3" t="s">
        <v>118</v>
      </c>
      <c r="I189" s="3" t="s">
        <v>502</v>
      </c>
      <c r="J189" s="3" t="s">
        <v>120</v>
      </c>
      <c r="K189" s="3" t="s">
        <v>503</v>
      </c>
      <c r="L189" s="3">
        <v>2022</v>
      </c>
      <c r="M189" s="3" t="s">
        <v>504</v>
      </c>
      <c r="N189" s="16">
        <v>44701</v>
      </c>
      <c r="O189" s="16">
        <v>44701</v>
      </c>
      <c r="P189" s="3">
        <v>5</v>
      </c>
      <c r="Q189" s="3"/>
    </row>
    <row r="190" spans="1:17" x14ac:dyDescent="0.25">
      <c r="A190" s="3">
        <v>189</v>
      </c>
      <c r="B190" s="3" t="s">
        <v>112</v>
      </c>
      <c r="C190" s="3" t="s">
        <v>536</v>
      </c>
      <c r="D190" s="3" t="s">
        <v>537</v>
      </c>
      <c r="E190" s="3" t="s">
        <v>514</v>
      </c>
      <c r="F190" s="3" t="s">
        <v>238</v>
      </c>
      <c r="G190" s="3" t="s">
        <v>198</v>
      </c>
      <c r="H190" s="3" t="s">
        <v>118</v>
      </c>
      <c r="I190" s="3" t="s">
        <v>502</v>
      </c>
      <c r="J190" s="3" t="s">
        <v>120</v>
      </c>
      <c r="K190" s="3" t="s">
        <v>503</v>
      </c>
      <c r="L190" s="3">
        <v>2022</v>
      </c>
      <c r="M190" s="3" t="s">
        <v>504</v>
      </c>
      <c r="N190" s="16">
        <v>44701</v>
      </c>
      <c r="O190" s="16">
        <v>44701</v>
      </c>
      <c r="P190" s="3">
        <v>5</v>
      </c>
      <c r="Q190" s="3"/>
    </row>
    <row r="191" spans="1:17" x14ac:dyDescent="0.25">
      <c r="A191" s="3">
        <v>190</v>
      </c>
      <c r="B191" s="3" t="s">
        <v>112</v>
      </c>
      <c r="C191" s="3" t="s">
        <v>538</v>
      </c>
      <c r="D191" s="3" t="s">
        <v>539</v>
      </c>
      <c r="E191" s="3" t="s">
        <v>501</v>
      </c>
      <c r="F191" s="3" t="s">
        <v>238</v>
      </c>
      <c r="G191" s="3" t="s">
        <v>198</v>
      </c>
      <c r="H191" s="3" t="s">
        <v>118</v>
      </c>
      <c r="I191" s="3" t="s">
        <v>502</v>
      </c>
      <c r="J191" s="3" t="s">
        <v>120</v>
      </c>
      <c r="K191" s="3" t="s">
        <v>503</v>
      </c>
      <c r="L191" s="3">
        <v>2022</v>
      </c>
      <c r="M191" s="3" t="s">
        <v>504</v>
      </c>
      <c r="N191" s="16">
        <v>44701</v>
      </c>
      <c r="O191" s="16">
        <v>44701</v>
      </c>
      <c r="P191" s="3">
        <v>5</v>
      </c>
      <c r="Q191" s="3"/>
    </row>
    <row r="192" spans="1:17" x14ac:dyDescent="0.25">
      <c r="A192" s="3">
        <v>191</v>
      </c>
      <c r="B192" s="3" t="s">
        <v>112</v>
      </c>
      <c r="C192" s="3" t="s">
        <v>540</v>
      </c>
      <c r="D192" s="3" t="s">
        <v>541</v>
      </c>
      <c r="E192" s="3" t="s">
        <v>501</v>
      </c>
      <c r="F192" s="3" t="s">
        <v>257</v>
      </c>
      <c r="G192" s="3" t="s">
        <v>198</v>
      </c>
      <c r="H192" s="3" t="s">
        <v>118</v>
      </c>
      <c r="I192" s="3" t="s">
        <v>502</v>
      </c>
      <c r="J192" s="3" t="s">
        <v>120</v>
      </c>
      <c r="K192" s="3" t="s">
        <v>503</v>
      </c>
      <c r="L192" s="3">
        <v>2022</v>
      </c>
      <c r="M192" s="3" t="s">
        <v>504</v>
      </c>
      <c r="N192" s="16">
        <v>44701</v>
      </c>
      <c r="O192" s="16">
        <v>44701</v>
      </c>
      <c r="P192" s="3">
        <v>5</v>
      </c>
      <c r="Q192" s="3"/>
    </row>
    <row r="193" spans="1:17" x14ac:dyDescent="0.25">
      <c r="A193" s="3">
        <v>192</v>
      </c>
      <c r="B193" s="3" t="s">
        <v>112</v>
      </c>
      <c r="C193" s="3" t="s">
        <v>542</v>
      </c>
      <c r="D193" s="3" t="s">
        <v>543</v>
      </c>
      <c r="E193" s="3" t="s">
        <v>514</v>
      </c>
      <c r="F193" s="3" t="s">
        <v>270</v>
      </c>
      <c r="G193" s="3" t="s">
        <v>271</v>
      </c>
      <c r="H193" s="3" t="s">
        <v>118</v>
      </c>
      <c r="I193" s="3" t="s">
        <v>502</v>
      </c>
      <c r="J193" s="3" t="s">
        <v>120</v>
      </c>
      <c r="K193" s="3" t="s">
        <v>503</v>
      </c>
      <c r="L193" s="3">
        <v>2022</v>
      </c>
      <c r="M193" s="3" t="s">
        <v>504</v>
      </c>
      <c r="N193" s="16">
        <v>44701</v>
      </c>
      <c r="O193" s="16">
        <v>44701</v>
      </c>
      <c r="P193" s="3">
        <v>5</v>
      </c>
      <c r="Q193" s="3"/>
    </row>
    <row r="194" spans="1:17" x14ac:dyDescent="0.25">
      <c r="A194" s="3">
        <v>193</v>
      </c>
      <c r="B194" s="3" t="s">
        <v>112</v>
      </c>
      <c r="C194" s="3" t="s">
        <v>544</v>
      </c>
      <c r="D194" s="3" t="s">
        <v>545</v>
      </c>
      <c r="E194" s="3" t="s">
        <v>501</v>
      </c>
      <c r="F194" s="3" t="s">
        <v>270</v>
      </c>
      <c r="G194" s="3" t="s">
        <v>271</v>
      </c>
      <c r="H194" s="3" t="s">
        <v>118</v>
      </c>
      <c r="I194" s="3" t="s">
        <v>502</v>
      </c>
      <c r="J194" s="3" t="s">
        <v>120</v>
      </c>
      <c r="K194" s="3" t="s">
        <v>503</v>
      </c>
      <c r="L194" s="3">
        <v>2022</v>
      </c>
      <c r="M194" s="3" t="s">
        <v>504</v>
      </c>
      <c r="N194" s="16">
        <v>44701</v>
      </c>
      <c r="O194" s="16">
        <v>44701</v>
      </c>
      <c r="P194" s="3">
        <v>5</v>
      </c>
      <c r="Q194" s="3"/>
    </row>
    <row r="195" spans="1:17" x14ac:dyDescent="0.25">
      <c r="A195" s="3">
        <v>194</v>
      </c>
      <c r="B195" s="3" t="s">
        <v>112</v>
      </c>
      <c r="C195" s="3" t="s">
        <v>546</v>
      </c>
      <c r="D195" s="3" t="s">
        <v>547</v>
      </c>
      <c r="E195" s="3" t="s">
        <v>501</v>
      </c>
      <c r="F195" s="3" t="s">
        <v>354</v>
      </c>
      <c r="G195" s="3" t="s">
        <v>271</v>
      </c>
      <c r="H195" s="3" t="s">
        <v>118</v>
      </c>
      <c r="I195" s="3" t="s">
        <v>502</v>
      </c>
      <c r="J195" s="3" t="s">
        <v>120</v>
      </c>
      <c r="K195" s="3" t="s">
        <v>503</v>
      </c>
      <c r="L195" s="3">
        <v>2022</v>
      </c>
      <c r="M195" s="3" t="s">
        <v>504</v>
      </c>
      <c r="N195" s="16">
        <v>44701</v>
      </c>
      <c r="O195" s="16">
        <v>44701</v>
      </c>
      <c r="P195" s="3">
        <v>5</v>
      </c>
      <c r="Q195" s="3"/>
    </row>
    <row r="196" spans="1:17" x14ac:dyDescent="0.25">
      <c r="A196" s="3">
        <v>195</v>
      </c>
      <c r="B196" s="3" t="s">
        <v>112</v>
      </c>
      <c r="C196" s="3" t="s">
        <v>548</v>
      </c>
      <c r="D196" s="3" t="s">
        <v>549</v>
      </c>
      <c r="E196" s="3" t="s">
        <v>520</v>
      </c>
      <c r="F196" s="3" t="s">
        <v>371</v>
      </c>
      <c r="G196" s="3" t="s">
        <v>372</v>
      </c>
      <c r="H196" s="3" t="s">
        <v>118</v>
      </c>
      <c r="I196" s="3" t="s">
        <v>502</v>
      </c>
      <c r="J196" s="3" t="s">
        <v>120</v>
      </c>
      <c r="K196" s="3" t="s">
        <v>503</v>
      </c>
      <c r="L196" s="3">
        <v>2022</v>
      </c>
      <c r="M196" s="3" t="s">
        <v>504</v>
      </c>
      <c r="N196" s="16">
        <v>44701</v>
      </c>
      <c r="O196" s="16">
        <v>44701</v>
      </c>
      <c r="P196" s="3">
        <v>5</v>
      </c>
      <c r="Q196" s="3"/>
    </row>
    <row r="197" spans="1:17" x14ac:dyDescent="0.25">
      <c r="A197" s="3">
        <v>196</v>
      </c>
      <c r="B197" s="3" t="s">
        <v>112</v>
      </c>
      <c r="C197" s="3" t="s">
        <v>550</v>
      </c>
      <c r="D197" s="3" t="s">
        <v>551</v>
      </c>
      <c r="E197" s="3" t="s">
        <v>501</v>
      </c>
      <c r="F197" s="3" t="s">
        <v>371</v>
      </c>
      <c r="G197" s="3" t="s">
        <v>372</v>
      </c>
      <c r="H197" s="3" t="s">
        <v>118</v>
      </c>
      <c r="I197" s="3" t="s">
        <v>502</v>
      </c>
      <c r="J197" s="3" t="s">
        <v>120</v>
      </c>
      <c r="K197" s="3" t="s">
        <v>503</v>
      </c>
      <c r="L197" s="3">
        <v>2022</v>
      </c>
      <c r="M197" s="3" t="s">
        <v>504</v>
      </c>
      <c r="N197" s="16">
        <v>44701</v>
      </c>
      <c r="O197" s="16">
        <v>44701</v>
      </c>
      <c r="P197" s="3">
        <v>5</v>
      </c>
      <c r="Q197" s="3"/>
    </row>
    <row r="198" spans="1:17" x14ac:dyDescent="0.25">
      <c r="A198" s="3">
        <v>197</v>
      </c>
      <c r="B198" s="3" t="s">
        <v>112</v>
      </c>
      <c r="C198" s="3" t="s">
        <v>552</v>
      </c>
      <c r="D198" s="3" t="s">
        <v>553</v>
      </c>
      <c r="E198" s="3" t="s">
        <v>520</v>
      </c>
      <c r="F198" s="3" t="s">
        <v>375</v>
      </c>
      <c r="G198" s="3" t="s">
        <v>372</v>
      </c>
      <c r="H198" s="3" t="s">
        <v>118</v>
      </c>
      <c r="I198" s="3" t="s">
        <v>502</v>
      </c>
      <c r="J198" s="3" t="s">
        <v>120</v>
      </c>
      <c r="K198" s="3" t="s">
        <v>503</v>
      </c>
      <c r="L198" s="3">
        <v>2022</v>
      </c>
      <c r="M198" s="3" t="s">
        <v>504</v>
      </c>
      <c r="N198" s="16">
        <v>44701</v>
      </c>
      <c r="O198" s="16">
        <v>44701</v>
      </c>
      <c r="P198" s="3">
        <v>5</v>
      </c>
      <c r="Q198" s="3"/>
    </row>
    <row r="199" spans="1:17" x14ac:dyDescent="0.25">
      <c r="A199" s="3">
        <v>198</v>
      </c>
      <c r="B199" s="3" t="s">
        <v>112</v>
      </c>
      <c r="C199" s="3" t="s">
        <v>554</v>
      </c>
      <c r="D199" s="3" t="s">
        <v>555</v>
      </c>
      <c r="E199" s="3" t="s">
        <v>556</v>
      </c>
      <c r="F199" s="3" t="s">
        <v>557</v>
      </c>
      <c r="G199" s="3" t="s">
        <v>557</v>
      </c>
      <c r="H199" s="3" t="s">
        <v>118</v>
      </c>
      <c r="I199" s="3" t="s">
        <v>502</v>
      </c>
      <c r="J199" s="3" t="s">
        <v>120</v>
      </c>
      <c r="K199" s="3" t="s">
        <v>503</v>
      </c>
      <c r="L199" s="3">
        <v>2022</v>
      </c>
      <c r="M199" s="3" t="s">
        <v>504</v>
      </c>
      <c r="N199" s="16">
        <v>44701</v>
      </c>
      <c r="O199" s="16">
        <v>44701</v>
      </c>
      <c r="P199" s="3">
        <v>5</v>
      </c>
      <c r="Q199" s="3"/>
    </row>
    <row r="200" spans="1:17" x14ac:dyDescent="0.25">
      <c r="A200" s="3">
        <v>199</v>
      </c>
      <c r="B200" s="3" t="s">
        <v>112</v>
      </c>
      <c r="C200" s="3" t="s">
        <v>558</v>
      </c>
      <c r="D200" s="3" t="s">
        <v>559</v>
      </c>
      <c r="E200" s="3" t="s">
        <v>560</v>
      </c>
      <c r="F200" s="3" t="s">
        <v>557</v>
      </c>
      <c r="G200" s="3" t="s">
        <v>557</v>
      </c>
      <c r="H200" s="3" t="s">
        <v>118</v>
      </c>
      <c r="I200" s="3" t="s">
        <v>502</v>
      </c>
      <c r="J200" s="3" t="s">
        <v>120</v>
      </c>
      <c r="K200" s="3" t="s">
        <v>503</v>
      </c>
      <c r="L200" s="3">
        <v>2022</v>
      </c>
      <c r="M200" s="3" t="s">
        <v>504</v>
      </c>
      <c r="N200" s="16">
        <v>44701</v>
      </c>
      <c r="O200" s="16">
        <v>44701</v>
      </c>
      <c r="P200" s="3">
        <v>5</v>
      </c>
      <c r="Q200" s="3"/>
    </row>
    <row r="201" spans="1:17" x14ac:dyDescent="0.25">
      <c r="A201" s="3">
        <v>200</v>
      </c>
      <c r="B201" s="3" t="s">
        <v>112</v>
      </c>
      <c r="C201" s="17" t="s">
        <v>561</v>
      </c>
      <c r="D201" s="3" t="s">
        <v>562</v>
      </c>
      <c r="E201" s="17" t="s">
        <v>563</v>
      </c>
      <c r="F201" s="17" t="s">
        <v>557</v>
      </c>
      <c r="G201" s="17" t="s">
        <v>557</v>
      </c>
      <c r="H201" s="17" t="s">
        <v>564</v>
      </c>
      <c r="I201" s="3" t="s">
        <v>502</v>
      </c>
      <c r="J201" s="3" t="s">
        <v>120</v>
      </c>
      <c r="K201" s="3" t="s">
        <v>565</v>
      </c>
      <c r="L201" s="3">
        <v>2022</v>
      </c>
      <c r="M201" s="17" t="s">
        <v>566</v>
      </c>
      <c r="N201" s="16">
        <v>44714</v>
      </c>
      <c r="O201" s="16">
        <v>44714</v>
      </c>
      <c r="P201" s="3">
        <v>3.5</v>
      </c>
      <c r="Q201" s="3"/>
    </row>
    <row r="202" spans="1:17" x14ac:dyDescent="0.25">
      <c r="A202" s="3">
        <v>201</v>
      </c>
      <c r="B202" s="3" t="s">
        <v>112</v>
      </c>
      <c r="C202" s="17" t="s">
        <v>567</v>
      </c>
      <c r="D202" s="3" t="s">
        <v>568</v>
      </c>
      <c r="E202" s="17" t="s">
        <v>569</v>
      </c>
      <c r="F202" s="17" t="s">
        <v>116</v>
      </c>
      <c r="G202" s="3" t="s">
        <v>117</v>
      </c>
      <c r="H202" s="17" t="s">
        <v>564</v>
      </c>
      <c r="I202" s="17" t="s">
        <v>119</v>
      </c>
      <c r="J202" s="17" t="s">
        <v>120</v>
      </c>
      <c r="K202" s="17" t="s">
        <v>570</v>
      </c>
      <c r="L202" s="3">
        <v>2022</v>
      </c>
      <c r="M202" s="17" t="s">
        <v>566</v>
      </c>
      <c r="N202" s="16">
        <v>44727</v>
      </c>
      <c r="O202" s="16">
        <v>44727</v>
      </c>
      <c r="P202" s="3">
        <v>8</v>
      </c>
      <c r="Q202" s="3"/>
    </row>
    <row r="203" spans="1:17" x14ac:dyDescent="0.25">
      <c r="A203" s="3">
        <v>202</v>
      </c>
      <c r="B203" s="3" t="s">
        <v>112</v>
      </c>
      <c r="C203" s="17" t="s">
        <v>571</v>
      </c>
      <c r="D203" s="3" t="s">
        <v>572</v>
      </c>
      <c r="E203" s="17" t="s">
        <v>160</v>
      </c>
      <c r="F203" s="17" t="s">
        <v>116</v>
      </c>
      <c r="G203" s="3" t="s">
        <v>117</v>
      </c>
      <c r="H203" s="17" t="s">
        <v>573</v>
      </c>
      <c r="I203" s="17" t="s">
        <v>119</v>
      </c>
      <c r="J203" s="17" t="s">
        <v>120</v>
      </c>
      <c r="K203" s="17" t="s">
        <v>570</v>
      </c>
      <c r="L203" s="3">
        <v>2022</v>
      </c>
      <c r="M203" s="17" t="s">
        <v>566</v>
      </c>
      <c r="N203" s="16">
        <v>44727</v>
      </c>
      <c r="O203" s="16">
        <v>44727</v>
      </c>
      <c r="P203" s="3">
        <v>8</v>
      </c>
      <c r="Q203" s="3"/>
    </row>
    <row r="204" spans="1:17" x14ac:dyDescent="0.25">
      <c r="A204" s="3">
        <v>203</v>
      </c>
      <c r="B204" s="3" t="s">
        <v>112</v>
      </c>
      <c r="C204" s="17" t="s">
        <v>574</v>
      </c>
      <c r="D204" s="3" t="s">
        <v>575</v>
      </c>
      <c r="E204" s="17" t="s">
        <v>576</v>
      </c>
      <c r="F204" s="17" t="s">
        <v>116</v>
      </c>
      <c r="G204" s="3" t="s">
        <v>117</v>
      </c>
      <c r="H204" s="17" t="s">
        <v>577</v>
      </c>
      <c r="I204" s="17" t="s">
        <v>119</v>
      </c>
      <c r="J204" s="17" t="s">
        <v>120</v>
      </c>
      <c r="K204" s="17" t="s">
        <v>570</v>
      </c>
      <c r="L204" s="3">
        <v>2022</v>
      </c>
      <c r="M204" s="17" t="s">
        <v>566</v>
      </c>
      <c r="N204" s="16">
        <v>44727</v>
      </c>
      <c r="O204" s="16">
        <v>44727</v>
      </c>
      <c r="P204" s="3">
        <v>8</v>
      </c>
      <c r="Q204" s="3"/>
    </row>
    <row r="205" spans="1:17" x14ac:dyDescent="0.25">
      <c r="A205" s="3">
        <v>204</v>
      </c>
      <c r="B205" s="3" t="s">
        <v>112</v>
      </c>
      <c r="C205" s="17" t="s">
        <v>578</v>
      </c>
      <c r="D205" s="3" t="s">
        <v>579</v>
      </c>
      <c r="E205" s="17" t="s">
        <v>160</v>
      </c>
      <c r="F205" s="17" t="s">
        <v>145</v>
      </c>
      <c r="G205" s="3" t="s">
        <v>117</v>
      </c>
      <c r="H205" s="17" t="s">
        <v>573</v>
      </c>
      <c r="I205" s="17" t="s">
        <v>119</v>
      </c>
      <c r="J205" s="17" t="s">
        <v>120</v>
      </c>
      <c r="K205" s="17" t="s">
        <v>570</v>
      </c>
      <c r="L205" s="3">
        <v>2022</v>
      </c>
      <c r="M205" s="17" t="s">
        <v>566</v>
      </c>
      <c r="N205" s="16">
        <v>44727</v>
      </c>
      <c r="O205" s="16">
        <v>44727</v>
      </c>
      <c r="P205" s="3">
        <v>8</v>
      </c>
      <c r="Q205" s="3"/>
    </row>
    <row r="206" spans="1:17" x14ac:dyDescent="0.25">
      <c r="A206" s="3">
        <v>205</v>
      </c>
      <c r="B206" s="3" t="s">
        <v>112</v>
      </c>
      <c r="C206" s="17" t="s">
        <v>580</v>
      </c>
      <c r="D206" s="3" t="s">
        <v>581</v>
      </c>
      <c r="E206" s="17" t="s">
        <v>569</v>
      </c>
      <c r="F206" s="17" t="s">
        <v>145</v>
      </c>
      <c r="G206" s="3" t="s">
        <v>117</v>
      </c>
      <c r="H206" s="17" t="s">
        <v>564</v>
      </c>
      <c r="I206" s="17" t="s">
        <v>119</v>
      </c>
      <c r="J206" s="17" t="s">
        <v>120</v>
      </c>
      <c r="K206" s="17" t="s">
        <v>570</v>
      </c>
      <c r="L206" s="3">
        <v>2022</v>
      </c>
      <c r="M206" s="17" t="s">
        <v>566</v>
      </c>
      <c r="N206" s="16">
        <v>44727</v>
      </c>
      <c r="O206" s="16">
        <v>44727</v>
      </c>
      <c r="P206" s="3">
        <v>8</v>
      </c>
      <c r="Q206" s="3"/>
    </row>
    <row r="207" spans="1:17" x14ac:dyDescent="0.25">
      <c r="A207" s="3">
        <v>206</v>
      </c>
      <c r="B207" s="3" t="s">
        <v>112</v>
      </c>
      <c r="C207" s="17" t="s">
        <v>582</v>
      </c>
      <c r="D207" s="3" t="s">
        <v>583</v>
      </c>
      <c r="E207" s="17" t="s">
        <v>584</v>
      </c>
      <c r="F207" s="17" t="s">
        <v>145</v>
      </c>
      <c r="G207" s="3" t="s">
        <v>117</v>
      </c>
      <c r="H207" s="17" t="s">
        <v>564</v>
      </c>
      <c r="I207" s="17" t="s">
        <v>119</v>
      </c>
      <c r="J207" s="17" t="s">
        <v>120</v>
      </c>
      <c r="K207" s="17" t="s">
        <v>570</v>
      </c>
      <c r="L207" s="3">
        <v>2022</v>
      </c>
      <c r="M207" s="17" t="s">
        <v>566</v>
      </c>
      <c r="N207" s="16">
        <v>44727</v>
      </c>
      <c r="O207" s="16">
        <v>44727</v>
      </c>
      <c r="P207" s="3">
        <v>8</v>
      </c>
      <c r="Q207" s="3"/>
    </row>
    <row r="208" spans="1:17" x14ac:dyDescent="0.25">
      <c r="A208" s="3">
        <v>207</v>
      </c>
      <c r="B208" s="3" t="s">
        <v>112</v>
      </c>
      <c r="C208" s="17" t="s">
        <v>585</v>
      </c>
      <c r="D208" s="3" t="s">
        <v>586</v>
      </c>
      <c r="E208" s="17" t="s">
        <v>576</v>
      </c>
      <c r="F208" s="17" t="s">
        <v>161</v>
      </c>
      <c r="G208" s="3" t="s">
        <v>117</v>
      </c>
      <c r="H208" s="17" t="s">
        <v>577</v>
      </c>
      <c r="I208" s="17" t="s">
        <v>119</v>
      </c>
      <c r="J208" s="17" t="s">
        <v>120</v>
      </c>
      <c r="K208" s="17" t="s">
        <v>570</v>
      </c>
      <c r="L208" s="3">
        <v>2022</v>
      </c>
      <c r="M208" s="17" t="s">
        <v>566</v>
      </c>
      <c r="N208" s="16">
        <v>44727</v>
      </c>
      <c r="O208" s="16">
        <v>44727</v>
      </c>
      <c r="P208" s="3">
        <v>8</v>
      </c>
      <c r="Q208" s="3"/>
    </row>
    <row r="209" spans="1:17" x14ac:dyDescent="0.25">
      <c r="A209" s="3">
        <v>208</v>
      </c>
      <c r="B209" s="3" t="s">
        <v>112</v>
      </c>
      <c r="C209" s="17" t="s">
        <v>587</v>
      </c>
      <c r="D209" s="3" t="s">
        <v>588</v>
      </c>
      <c r="E209" s="17" t="s">
        <v>589</v>
      </c>
      <c r="F209" s="17" t="s">
        <v>161</v>
      </c>
      <c r="G209" s="3" t="s">
        <v>117</v>
      </c>
      <c r="H209" s="17" t="s">
        <v>577</v>
      </c>
      <c r="I209" s="17" t="s">
        <v>119</v>
      </c>
      <c r="J209" s="17" t="s">
        <v>120</v>
      </c>
      <c r="K209" s="17" t="s">
        <v>570</v>
      </c>
      <c r="L209" s="3">
        <v>2022</v>
      </c>
      <c r="M209" s="17" t="s">
        <v>566</v>
      </c>
      <c r="N209" s="16">
        <v>44727</v>
      </c>
      <c r="O209" s="16">
        <v>44727</v>
      </c>
      <c r="P209" s="3">
        <v>8</v>
      </c>
      <c r="Q209" s="3"/>
    </row>
    <row r="210" spans="1:17" x14ac:dyDescent="0.25">
      <c r="A210" s="3">
        <v>209</v>
      </c>
      <c r="B210" s="3" t="s">
        <v>112</v>
      </c>
      <c r="C210" s="17" t="s">
        <v>590</v>
      </c>
      <c r="D210" s="3" t="s">
        <v>591</v>
      </c>
      <c r="E210" s="17" t="s">
        <v>160</v>
      </c>
      <c r="F210" s="17" t="s">
        <v>161</v>
      </c>
      <c r="G210" s="3" t="s">
        <v>117</v>
      </c>
      <c r="H210" s="17" t="s">
        <v>573</v>
      </c>
      <c r="I210" s="17" t="s">
        <v>119</v>
      </c>
      <c r="J210" s="17" t="s">
        <v>120</v>
      </c>
      <c r="K210" s="17" t="s">
        <v>570</v>
      </c>
      <c r="L210" s="3">
        <v>2022</v>
      </c>
      <c r="M210" s="17" t="s">
        <v>566</v>
      </c>
      <c r="N210" s="16">
        <v>44727</v>
      </c>
      <c r="O210" s="16">
        <v>44727</v>
      </c>
      <c r="P210" s="3">
        <v>8</v>
      </c>
      <c r="Q210" s="3"/>
    </row>
    <row r="211" spans="1:17" x14ac:dyDescent="0.25">
      <c r="A211" s="3">
        <v>210</v>
      </c>
      <c r="B211" s="3" t="s">
        <v>112</v>
      </c>
      <c r="C211" s="17" t="s">
        <v>592</v>
      </c>
      <c r="D211" s="3" t="s">
        <v>593</v>
      </c>
      <c r="E211" s="17" t="s">
        <v>569</v>
      </c>
      <c r="F211" s="17" t="s">
        <v>161</v>
      </c>
      <c r="G211" s="3" t="s">
        <v>117</v>
      </c>
      <c r="H211" s="17" t="s">
        <v>564</v>
      </c>
      <c r="I211" s="17" t="s">
        <v>119</v>
      </c>
      <c r="J211" s="17" t="s">
        <v>120</v>
      </c>
      <c r="K211" s="17" t="s">
        <v>570</v>
      </c>
      <c r="L211" s="3">
        <v>2022</v>
      </c>
      <c r="M211" s="17" t="s">
        <v>566</v>
      </c>
      <c r="N211" s="16">
        <v>44727</v>
      </c>
      <c r="O211" s="16">
        <v>44727</v>
      </c>
      <c r="P211" s="3">
        <v>8</v>
      </c>
      <c r="Q211" s="3"/>
    </row>
    <row r="212" spans="1:17" x14ac:dyDescent="0.25">
      <c r="A212" s="3">
        <v>211</v>
      </c>
      <c r="B212" s="3" t="s">
        <v>112</v>
      </c>
      <c r="C212" s="17" t="s">
        <v>594</v>
      </c>
      <c r="D212" s="3" t="s">
        <v>595</v>
      </c>
      <c r="E212" s="17" t="s">
        <v>596</v>
      </c>
      <c r="F212" s="17" t="s">
        <v>176</v>
      </c>
      <c r="G212" s="3" t="s">
        <v>117</v>
      </c>
      <c r="H212" s="17" t="s">
        <v>573</v>
      </c>
      <c r="I212" s="17" t="s">
        <v>119</v>
      </c>
      <c r="J212" s="17" t="s">
        <v>120</v>
      </c>
      <c r="K212" s="17" t="s">
        <v>570</v>
      </c>
      <c r="L212" s="3">
        <v>2022</v>
      </c>
      <c r="M212" s="17" t="s">
        <v>566</v>
      </c>
      <c r="N212" s="16">
        <v>44727</v>
      </c>
      <c r="O212" s="16">
        <v>44727</v>
      </c>
      <c r="P212" s="3">
        <v>8</v>
      </c>
      <c r="Q212" s="3"/>
    </row>
    <row r="213" spans="1:17" x14ac:dyDescent="0.25">
      <c r="A213" s="3">
        <v>212</v>
      </c>
      <c r="B213" s="3" t="s">
        <v>112</v>
      </c>
      <c r="C213" s="17" t="s">
        <v>597</v>
      </c>
      <c r="D213" s="3" t="s">
        <v>598</v>
      </c>
      <c r="E213" s="17" t="s">
        <v>576</v>
      </c>
      <c r="F213" s="17" t="s">
        <v>176</v>
      </c>
      <c r="G213" s="3" t="s">
        <v>117</v>
      </c>
      <c r="H213" s="17" t="s">
        <v>577</v>
      </c>
      <c r="I213" s="17" t="s">
        <v>119</v>
      </c>
      <c r="J213" s="17" t="s">
        <v>120</v>
      </c>
      <c r="K213" s="17" t="s">
        <v>570</v>
      </c>
      <c r="L213" s="3">
        <v>2022</v>
      </c>
      <c r="M213" s="17" t="s">
        <v>566</v>
      </c>
      <c r="N213" s="16">
        <v>44727</v>
      </c>
      <c r="O213" s="16">
        <v>44727</v>
      </c>
      <c r="P213" s="3">
        <v>8</v>
      </c>
      <c r="Q213" s="3"/>
    </row>
    <row r="214" spans="1:17" x14ac:dyDescent="0.25">
      <c r="A214" s="3">
        <v>213</v>
      </c>
      <c r="B214" s="3" t="s">
        <v>112</v>
      </c>
      <c r="C214" s="17" t="s">
        <v>599</v>
      </c>
      <c r="D214" s="3" t="s">
        <v>600</v>
      </c>
      <c r="E214" s="17" t="s">
        <v>596</v>
      </c>
      <c r="F214" s="17" t="s">
        <v>176</v>
      </c>
      <c r="G214" s="3" t="s">
        <v>117</v>
      </c>
      <c r="H214" s="17" t="s">
        <v>573</v>
      </c>
      <c r="I214" s="17" t="s">
        <v>119</v>
      </c>
      <c r="J214" s="17" t="s">
        <v>120</v>
      </c>
      <c r="K214" s="17" t="s">
        <v>570</v>
      </c>
      <c r="L214" s="3">
        <v>2022</v>
      </c>
      <c r="M214" s="17" t="s">
        <v>566</v>
      </c>
      <c r="N214" s="16">
        <v>44727</v>
      </c>
      <c r="O214" s="16">
        <v>44727</v>
      </c>
      <c r="P214" s="3">
        <v>8</v>
      </c>
      <c r="Q214" s="3"/>
    </row>
    <row r="215" spans="1:17" x14ac:dyDescent="0.25">
      <c r="A215" s="3">
        <v>214</v>
      </c>
      <c r="B215" s="3" t="s">
        <v>112</v>
      </c>
      <c r="C215" s="17" t="s">
        <v>601</v>
      </c>
      <c r="D215" s="3" t="s">
        <v>602</v>
      </c>
      <c r="E215" s="17" t="s">
        <v>569</v>
      </c>
      <c r="F215" s="17" t="s">
        <v>176</v>
      </c>
      <c r="G215" s="3" t="s">
        <v>117</v>
      </c>
      <c r="H215" s="17" t="s">
        <v>564</v>
      </c>
      <c r="I215" s="17" t="s">
        <v>119</v>
      </c>
      <c r="J215" s="17" t="s">
        <v>120</v>
      </c>
      <c r="K215" s="17" t="s">
        <v>570</v>
      </c>
      <c r="L215" s="3">
        <v>2022</v>
      </c>
      <c r="M215" s="17" t="s">
        <v>566</v>
      </c>
      <c r="N215" s="16">
        <v>44727</v>
      </c>
      <c r="O215" s="16">
        <v>44727</v>
      </c>
      <c r="P215" s="3">
        <v>8</v>
      </c>
      <c r="Q215" s="3"/>
    </row>
    <row r="216" spans="1:17" x14ac:dyDescent="0.25">
      <c r="A216" s="3">
        <v>215</v>
      </c>
      <c r="B216" s="3" t="s">
        <v>112</v>
      </c>
      <c r="C216" s="17" t="s">
        <v>603</v>
      </c>
      <c r="D216" s="3" t="s">
        <v>604</v>
      </c>
      <c r="E216" s="17" t="s">
        <v>589</v>
      </c>
      <c r="F216" s="17" t="s">
        <v>176</v>
      </c>
      <c r="G216" s="3" t="s">
        <v>117</v>
      </c>
      <c r="H216" s="17" t="s">
        <v>577</v>
      </c>
      <c r="I216" s="17" t="s">
        <v>119</v>
      </c>
      <c r="J216" s="17" t="s">
        <v>120</v>
      </c>
      <c r="K216" s="17" t="s">
        <v>570</v>
      </c>
      <c r="L216" s="3">
        <v>2022</v>
      </c>
      <c r="M216" s="17" t="s">
        <v>566</v>
      </c>
      <c r="N216" s="16">
        <v>44727</v>
      </c>
      <c r="O216" s="16">
        <v>44727</v>
      </c>
      <c r="P216" s="3">
        <v>8</v>
      </c>
      <c r="Q216" s="3"/>
    </row>
    <row r="217" spans="1:17" x14ac:dyDescent="0.25">
      <c r="A217" s="3">
        <v>216</v>
      </c>
      <c r="B217" s="3" t="s">
        <v>112</v>
      </c>
      <c r="C217" s="17" t="s">
        <v>605</v>
      </c>
      <c r="D217" s="3" t="s">
        <v>606</v>
      </c>
      <c r="E217" s="17" t="s">
        <v>607</v>
      </c>
      <c r="F217" s="17" t="s">
        <v>176</v>
      </c>
      <c r="G217" s="3" t="s">
        <v>117</v>
      </c>
      <c r="H217" s="17" t="s">
        <v>573</v>
      </c>
      <c r="I217" s="17" t="s">
        <v>119</v>
      </c>
      <c r="J217" s="17" t="s">
        <v>120</v>
      </c>
      <c r="K217" s="17" t="s">
        <v>570</v>
      </c>
      <c r="L217" s="3">
        <v>2022</v>
      </c>
      <c r="M217" s="17" t="s">
        <v>566</v>
      </c>
      <c r="N217" s="16">
        <v>44727</v>
      </c>
      <c r="O217" s="16">
        <v>44727</v>
      </c>
      <c r="P217" s="3">
        <v>8</v>
      </c>
      <c r="Q217" s="3"/>
    </row>
    <row r="218" spans="1:17" x14ac:dyDescent="0.25">
      <c r="A218" s="3">
        <v>217</v>
      </c>
      <c r="B218" s="3" t="s">
        <v>112</v>
      </c>
      <c r="C218" s="17" t="s">
        <v>608</v>
      </c>
      <c r="D218" s="3" t="s">
        <v>609</v>
      </c>
      <c r="E218" s="17" t="s">
        <v>576</v>
      </c>
      <c r="F218" s="17" t="s">
        <v>517</v>
      </c>
      <c r="G218" s="3" t="s">
        <v>117</v>
      </c>
      <c r="H218" s="17" t="s">
        <v>577</v>
      </c>
      <c r="I218" s="17" t="s">
        <v>119</v>
      </c>
      <c r="J218" s="17" t="s">
        <v>120</v>
      </c>
      <c r="K218" s="17" t="s">
        <v>570</v>
      </c>
      <c r="L218" s="3">
        <v>2022</v>
      </c>
      <c r="M218" s="17" t="s">
        <v>566</v>
      </c>
      <c r="N218" s="16">
        <v>44727</v>
      </c>
      <c r="O218" s="16">
        <v>44727</v>
      </c>
      <c r="P218" s="3">
        <v>8</v>
      </c>
      <c r="Q218" s="3"/>
    </row>
    <row r="219" spans="1:17" x14ac:dyDescent="0.25">
      <c r="A219" s="3">
        <v>218</v>
      </c>
      <c r="B219" s="3" t="s">
        <v>112</v>
      </c>
      <c r="C219" s="17" t="s">
        <v>610</v>
      </c>
      <c r="D219" s="3" t="s">
        <v>611</v>
      </c>
      <c r="E219" s="17" t="s">
        <v>612</v>
      </c>
      <c r="F219" s="17" t="s">
        <v>517</v>
      </c>
      <c r="G219" s="3" t="s">
        <v>117</v>
      </c>
      <c r="H219" s="17" t="s">
        <v>573</v>
      </c>
      <c r="I219" s="17" t="s">
        <v>119</v>
      </c>
      <c r="J219" s="17" t="s">
        <v>120</v>
      </c>
      <c r="K219" s="17" t="s">
        <v>570</v>
      </c>
      <c r="L219" s="3">
        <v>2022</v>
      </c>
      <c r="M219" s="17" t="s">
        <v>566</v>
      </c>
      <c r="N219" s="16">
        <v>44727</v>
      </c>
      <c r="O219" s="16">
        <v>44727</v>
      </c>
      <c r="P219" s="3">
        <v>8</v>
      </c>
      <c r="Q219" s="3"/>
    </row>
    <row r="220" spans="1:17" x14ac:dyDescent="0.25">
      <c r="A220" s="3">
        <v>219</v>
      </c>
      <c r="B220" s="3" t="s">
        <v>112</v>
      </c>
      <c r="C220" s="17" t="s">
        <v>613</v>
      </c>
      <c r="D220" s="3" t="s">
        <v>614</v>
      </c>
      <c r="E220" s="17" t="s">
        <v>615</v>
      </c>
      <c r="F220" s="17" t="s">
        <v>293</v>
      </c>
      <c r="G220" s="3" t="s">
        <v>294</v>
      </c>
      <c r="H220" s="17" t="s">
        <v>577</v>
      </c>
      <c r="I220" s="17" t="s">
        <v>119</v>
      </c>
      <c r="J220" s="17" t="s">
        <v>120</v>
      </c>
      <c r="K220" s="17" t="s">
        <v>570</v>
      </c>
      <c r="L220" s="3">
        <v>2022</v>
      </c>
      <c r="M220" s="17" t="s">
        <v>566</v>
      </c>
      <c r="N220" s="16">
        <v>44727</v>
      </c>
      <c r="O220" s="16">
        <v>44727</v>
      </c>
      <c r="P220" s="3">
        <v>8</v>
      </c>
      <c r="Q220" s="3"/>
    </row>
    <row r="221" spans="1:17" x14ac:dyDescent="0.25">
      <c r="A221" s="3">
        <v>220</v>
      </c>
      <c r="B221" s="3" t="s">
        <v>112</v>
      </c>
      <c r="C221" s="17" t="s">
        <v>616</v>
      </c>
      <c r="D221" s="3" t="s">
        <v>617</v>
      </c>
      <c r="E221" s="17" t="s">
        <v>618</v>
      </c>
      <c r="F221" s="17" t="s">
        <v>557</v>
      </c>
      <c r="G221" s="17" t="s">
        <v>557</v>
      </c>
      <c r="H221" s="17" t="s">
        <v>564</v>
      </c>
      <c r="I221" s="17" t="s">
        <v>119</v>
      </c>
      <c r="J221" s="17" t="s">
        <v>120</v>
      </c>
      <c r="K221" s="17" t="s">
        <v>570</v>
      </c>
      <c r="L221" s="3">
        <v>2022</v>
      </c>
      <c r="M221" s="17" t="s">
        <v>566</v>
      </c>
      <c r="N221" s="16">
        <v>44727</v>
      </c>
      <c r="O221" s="16">
        <v>44727</v>
      </c>
      <c r="P221" s="3">
        <v>8</v>
      </c>
      <c r="Q221" s="3"/>
    </row>
    <row r="222" spans="1:17" x14ac:dyDescent="0.25">
      <c r="A222" s="3">
        <v>221</v>
      </c>
      <c r="B222" s="3" t="s">
        <v>112</v>
      </c>
      <c r="C222" s="17" t="s">
        <v>619</v>
      </c>
      <c r="D222" s="3" t="s">
        <v>620</v>
      </c>
      <c r="E222" s="17" t="s">
        <v>621</v>
      </c>
      <c r="F222" s="3" t="s">
        <v>557</v>
      </c>
      <c r="G222" s="17" t="s">
        <v>557</v>
      </c>
      <c r="H222" s="17" t="s">
        <v>564</v>
      </c>
      <c r="I222" s="17" t="s">
        <v>119</v>
      </c>
      <c r="J222" s="17" t="s">
        <v>120</v>
      </c>
      <c r="K222" s="17" t="s">
        <v>570</v>
      </c>
      <c r="L222" s="3">
        <v>2022</v>
      </c>
      <c r="M222" s="17" t="s">
        <v>566</v>
      </c>
      <c r="N222" s="16">
        <v>44727</v>
      </c>
      <c r="O222" s="16">
        <v>44727</v>
      </c>
      <c r="P222" s="3">
        <v>8</v>
      </c>
      <c r="Q222" s="3"/>
    </row>
    <row r="223" spans="1:17" x14ac:dyDescent="0.25">
      <c r="A223" s="3">
        <v>222</v>
      </c>
      <c r="B223" s="3" t="s">
        <v>112</v>
      </c>
      <c r="C223" s="17" t="s">
        <v>622</v>
      </c>
      <c r="D223" s="3" t="s">
        <v>623</v>
      </c>
      <c r="E223" s="17" t="s">
        <v>607</v>
      </c>
      <c r="F223" s="17" t="s">
        <v>145</v>
      </c>
      <c r="G223" s="17" t="s">
        <v>117</v>
      </c>
      <c r="H223" s="17" t="s">
        <v>573</v>
      </c>
      <c r="I223" s="17" t="s">
        <v>119</v>
      </c>
      <c r="J223" s="17" t="s">
        <v>120</v>
      </c>
      <c r="K223" s="17" t="s">
        <v>570</v>
      </c>
      <c r="L223" s="3">
        <v>2022</v>
      </c>
      <c r="M223" s="17" t="s">
        <v>566</v>
      </c>
      <c r="N223" s="16">
        <v>44727</v>
      </c>
      <c r="O223" s="16">
        <v>44727</v>
      </c>
      <c r="P223" s="3">
        <v>8</v>
      </c>
      <c r="Q223" s="3"/>
    </row>
    <row r="224" spans="1:17" x14ac:dyDescent="0.25">
      <c r="A224" s="3">
        <v>223</v>
      </c>
      <c r="B224" s="3" t="s">
        <v>112</v>
      </c>
      <c r="C224" s="18" t="s">
        <v>624</v>
      </c>
      <c r="D224" s="3" t="s">
        <v>625</v>
      </c>
      <c r="E224" s="17" t="s">
        <v>596</v>
      </c>
      <c r="F224" s="19" t="s">
        <v>270</v>
      </c>
      <c r="G224" s="17" t="s">
        <v>271</v>
      </c>
      <c r="H224" s="17" t="s">
        <v>573</v>
      </c>
      <c r="I224" s="17" t="s">
        <v>119</v>
      </c>
      <c r="J224" s="17" t="s">
        <v>120</v>
      </c>
      <c r="K224" s="17" t="s">
        <v>570</v>
      </c>
      <c r="L224" s="3">
        <v>2022</v>
      </c>
      <c r="M224" s="17" t="s">
        <v>566</v>
      </c>
      <c r="N224" s="16">
        <v>44730</v>
      </c>
      <c r="O224" s="16">
        <v>44730</v>
      </c>
      <c r="P224" s="3">
        <v>8</v>
      </c>
      <c r="Q224" s="3"/>
    </row>
    <row r="225" spans="1:17" x14ac:dyDescent="0.25">
      <c r="A225" s="3">
        <v>224</v>
      </c>
      <c r="B225" s="3" t="s">
        <v>112</v>
      </c>
      <c r="C225" s="17" t="s">
        <v>626</v>
      </c>
      <c r="D225" s="3" t="s">
        <v>627</v>
      </c>
      <c r="E225" s="17" t="s">
        <v>576</v>
      </c>
      <c r="F225" s="19" t="s">
        <v>270</v>
      </c>
      <c r="G225" s="17" t="s">
        <v>271</v>
      </c>
      <c r="H225" s="17" t="s">
        <v>577</v>
      </c>
      <c r="I225" s="17" t="s">
        <v>119</v>
      </c>
      <c r="J225" s="17" t="s">
        <v>120</v>
      </c>
      <c r="K225" s="17" t="s">
        <v>570</v>
      </c>
      <c r="L225" s="3">
        <v>2022</v>
      </c>
      <c r="M225" s="17" t="s">
        <v>566</v>
      </c>
      <c r="N225" s="16">
        <v>44730</v>
      </c>
      <c r="O225" s="16">
        <v>44730</v>
      </c>
      <c r="P225" s="3">
        <v>8</v>
      </c>
      <c r="Q225" s="3"/>
    </row>
    <row r="226" spans="1:17" x14ac:dyDescent="0.25">
      <c r="A226" s="3">
        <v>225</v>
      </c>
      <c r="B226" s="3" t="s">
        <v>112</v>
      </c>
      <c r="C226" s="18" t="s">
        <v>628</v>
      </c>
      <c r="D226" s="3" t="s">
        <v>629</v>
      </c>
      <c r="E226" s="17" t="s">
        <v>569</v>
      </c>
      <c r="F226" s="19" t="s">
        <v>270</v>
      </c>
      <c r="G226" s="17" t="s">
        <v>271</v>
      </c>
      <c r="H226" s="17" t="s">
        <v>564</v>
      </c>
      <c r="I226" s="17" t="s">
        <v>119</v>
      </c>
      <c r="J226" s="17" t="s">
        <v>120</v>
      </c>
      <c r="K226" s="17" t="s">
        <v>570</v>
      </c>
      <c r="L226" s="3">
        <v>2022</v>
      </c>
      <c r="M226" s="17" t="s">
        <v>566</v>
      </c>
      <c r="N226" s="16">
        <v>44730</v>
      </c>
      <c r="O226" s="16">
        <v>44730</v>
      </c>
      <c r="P226" s="3">
        <v>8</v>
      </c>
      <c r="Q226" s="3"/>
    </row>
    <row r="227" spans="1:17" x14ac:dyDescent="0.25">
      <c r="A227" s="3">
        <v>226</v>
      </c>
      <c r="B227" s="3" t="s">
        <v>112</v>
      </c>
      <c r="C227" s="18" t="s">
        <v>630</v>
      </c>
      <c r="D227" s="3" t="s">
        <v>631</v>
      </c>
      <c r="E227" s="17" t="s">
        <v>612</v>
      </c>
      <c r="F227" s="19" t="s">
        <v>270</v>
      </c>
      <c r="G227" s="17" t="s">
        <v>271</v>
      </c>
      <c r="H227" s="17" t="s">
        <v>573</v>
      </c>
      <c r="I227" s="17" t="s">
        <v>119</v>
      </c>
      <c r="J227" s="17" t="s">
        <v>120</v>
      </c>
      <c r="K227" s="17" t="s">
        <v>570</v>
      </c>
      <c r="L227" s="3">
        <v>2022</v>
      </c>
      <c r="M227" s="17" t="s">
        <v>566</v>
      </c>
      <c r="N227" s="16">
        <v>44730</v>
      </c>
      <c r="O227" s="16">
        <v>44730</v>
      </c>
      <c r="P227" s="3">
        <v>8</v>
      </c>
      <c r="Q227" s="3"/>
    </row>
    <row r="228" spans="1:17" x14ac:dyDescent="0.25">
      <c r="A228" s="3">
        <v>227</v>
      </c>
      <c r="B228" s="3" t="s">
        <v>112</v>
      </c>
      <c r="C228" s="18" t="s">
        <v>632</v>
      </c>
      <c r="D228" s="3" t="s">
        <v>633</v>
      </c>
      <c r="E228" s="17" t="s">
        <v>589</v>
      </c>
      <c r="F228" s="19" t="s">
        <v>354</v>
      </c>
      <c r="G228" s="17" t="s">
        <v>271</v>
      </c>
      <c r="H228" s="17" t="s">
        <v>577</v>
      </c>
      <c r="I228" s="17" t="s">
        <v>119</v>
      </c>
      <c r="J228" s="17" t="s">
        <v>120</v>
      </c>
      <c r="K228" s="17" t="s">
        <v>570</v>
      </c>
      <c r="L228" s="3">
        <v>2022</v>
      </c>
      <c r="M228" s="17" t="s">
        <v>566</v>
      </c>
      <c r="N228" s="16">
        <v>44730</v>
      </c>
      <c r="O228" s="16">
        <v>44730</v>
      </c>
      <c r="P228" s="3">
        <v>8</v>
      </c>
      <c r="Q228" s="3"/>
    </row>
    <row r="229" spans="1:17" x14ac:dyDescent="0.25">
      <c r="A229" s="3">
        <v>228</v>
      </c>
      <c r="B229" s="3" t="s">
        <v>112</v>
      </c>
      <c r="C229" s="17" t="s">
        <v>634</v>
      </c>
      <c r="D229" s="3" t="s">
        <v>635</v>
      </c>
      <c r="E229" s="17" t="s">
        <v>584</v>
      </c>
      <c r="F229" s="17" t="s">
        <v>371</v>
      </c>
      <c r="G229" s="17" t="s">
        <v>271</v>
      </c>
      <c r="H229" s="17" t="s">
        <v>564</v>
      </c>
      <c r="I229" s="17" t="s">
        <v>119</v>
      </c>
      <c r="J229" s="17" t="s">
        <v>120</v>
      </c>
      <c r="K229" s="17" t="s">
        <v>570</v>
      </c>
      <c r="L229" s="3">
        <v>2022</v>
      </c>
      <c r="M229" s="17" t="s">
        <v>566</v>
      </c>
      <c r="N229" s="16">
        <v>44730</v>
      </c>
      <c r="O229" s="16">
        <v>44730</v>
      </c>
      <c r="P229" s="3">
        <v>8</v>
      </c>
      <c r="Q229" s="3"/>
    </row>
    <row r="230" spans="1:17" x14ac:dyDescent="0.25">
      <c r="A230" s="3">
        <v>229</v>
      </c>
      <c r="B230" s="3" t="s">
        <v>112</v>
      </c>
      <c r="C230" s="17" t="s">
        <v>636</v>
      </c>
      <c r="D230" s="3" t="s">
        <v>637</v>
      </c>
      <c r="E230" s="17" t="s">
        <v>615</v>
      </c>
      <c r="F230" s="17" t="s">
        <v>375</v>
      </c>
      <c r="G230" s="17" t="s">
        <v>271</v>
      </c>
      <c r="H230" s="17" t="s">
        <v>577</v>
      </c>
      <c r="I230" s="17" t="s">
        <v>119</v>
      </c>
      <c r="J230" s="17" t="s">
        <v>120</v>
      </c>
      <c r="K230" s="17" t="s">
        <v>570</v>
      </c>
      <c r="L230" s="3">
        <v>2022</v>
      </c>
      <c r="M230" s="17" t="s">
        <v>566</v>
      </c>
      <c r="N230" s="16">
        <v>44730</v>
      </c>
      <c r="O230" s="16">
        <v>44730</v>
      </c>
      <c r="P230" s="3">
        <v>8</v>
      </c>
      <c r="Q230" s="3"/>
    </row>
    <row r="231" spans="1:17" x14ac:dyDescent="0.25">
      <c r="A231" s="3">
        <v>230</v>
      </c>
      <c r="B231" s="3" t="s">
        <v>112</v>
      </c>
      <c r="C231" s="17" t="s">
        <v>638</v>
      </c>
      <c r="D231" s="3" t="s">
        <v>639</v>
      </c>
      <c r="E231" s="17" t="s">
        <v>569</v>
      </c>
      <c r="F231" s="17" t="s">
        <v>197</v>
      </c>
      <c r="G231" s="17" t="s">
        <v>198</v>
      </c>
      <c r="H231" s="17" t="s">
        <v>564</v>
      </c>
      <c r="I231" s="17" t="s">
        <v>119</v>
      </c>
      <c r="J231" s="17" t="s">
        <v>120</v>
      </c>
      <c r="K231" s="17" t="s">
        <v>570</v>
      </c>
      <c r="L231" s="3">
        <v>2022</v>
      </c>
      <c r="M231" s="17" t="s">
        <v>566</v>
      </c>
      <c r="N231" s="16">
        <v>44733</v>
      </c>
      <c r="O231" s="16">
        <v>44733</v>
      </c>
      <c r="P231" s="3">
        <v>8</v>
      </c>
      <c r="Q231" s="3"/>
    </row>
    <row r="232" spans="1:17" x14ac:dyDescent="0.25">
      <c r="A232" s="3">
        <v>231</v>
      </c>
      <c r="B232" s="3" t="s">
        <v>112</v>
      </c>
      <c r="C232" s="17" t="s">
        <v>640</v>
      </c>
      <c r="D232" s="3" t="s">
        <v>641</v>
      </c>
      <c r="E232" s="3" t="s">
        <v>160</v>
      </c>
      <c r="F232" s="17" t="s">
        <v>197</v>
      </c>
      <c r="G232" s="17" t="s">
        <v>198</v>
      </c>
      <c r="H232" s="17" t="s">
        <v>577</v>
      </c>
      <c r="I232" s="17" t="s">
        <v>119</v>
      </c>
      <c r="J232" s="17" t="s">
        <v>120</v>
      </c>
      <c r="K232" s="17" t="s">
        <v>570</v>
      </c>
      <c r="L232" s="3">
        <v>2022</v>
      </c>
      <c r="M232" s="17" t="s">
        <v>566</v>
      </c>
      <c r="N232" s="16">
        <v>44733</v>
      </c>
      <c r="O232" s="16">
        <v>44733</v>
      </c>
      <c r="P232" s="3">
        <v>8</v>
      </c>
      <c r="Q232" s="3"/>
    </row>
    <row r="233" spans="1:17" x14ac:dyDescent="0.25">
      <c r="A233" s="3">
        <v>232</v>
      </c>
      <c r="B233" s="3" t="s">
        <v>112</v>
      </c>
      <c r="C233" s="17" t="s">
        <v>642</v>
      </c>
      <c r="D233" s="3" t="s">
        <v>643</v>
      </c>
      <c r="E233" s="3" t="s">
        <v>160</v>
      </c>
      <c r="F233" s="17" t="s">
        <v>197</v>
      </c>
      <c r="G233" s="17" t="s">
        <v>198</v>
      </c>
      <c r="H233" s="17" t="s">
        <v>577</v>
      </c>
      <c r="I233" s="17" t="s">
        <v>119</v>
      </c>
      <c r="J233" s="17" t="s">
        <v>120</v>
      </c>
      <c r="K233" s="17" t="s">
        <v>570</v>
      </c>
      <c r="L233" s="3">
        <v>2022</v>
      </c>
      <c r="M233" s="17" t="s">
        <v>566</v>
      </c>
      <c r="N233" s="16">
        <v>44733</v>
      </c>
      <c r="O233" s="16">
        <v>44733</v>
      </c>
      <c r="P233" s="3">
        <v>8</v>
      </c>
      <c r="Q233" s="3"/>
    </row>
    <row r="234" spans="1:17" x14ac:dyDescent="0.25">
      <c r="A234" s="3">
        <v>233</v>
      </c>
      <c r="B234" s="3" t="s">
        <v>112</v>
      </c>
      <c r="C234" s="17" t="s">
        <v>644</v>
      </c>
      <c r="D234" s="3" t="s">
        <v>645</v>
      </c>
      <c r="E234" s="17" t="s">
        <v>160</v>
      </c>
      <c r="F234" s="17" t="s">
        <v>197</v>
      </c>
      <c r="G234" s="17" t="s">
        <v>198</v>
      </c>
      <c r="H234" s="17" t="s">
        <v>573</v>
      </c>
      <c r="I234" s="17" t="s">
        <v>119</v>
      </c>
      <c r="J234" s="17" t="s">
        <v>120</v>
      </c>
      <c r="K234" s="17" t="s">
        <v>570</v>
      </c>
      <c r="L234" s="3">
        <v>2022</v>
      </c>
      <c r="M234" s="17" t="s">
        <v>566</v>
      </c>
      <c r="N234" s="16">
        <v>44733</v>
      </c>
      <c r="O234" s="16">
        <v>44733</v>
      </c>
      <c r="P234" s="3">
        <v>8</v>
      </c>
      <c r="Q234" s="3"/>
    </row>
    <row r="235" spans="1:17" x14ac:dyDescent="0.25">
      <c r="A235" s="3">
        <v>234</v>
      </c>
      <c r="B235" s="3" t="s">
        <v>112</v>
      </c>
      <c r="C235" s="17" t="s">
        <v>646</v>
      </c>
      <c r="D235" s="3" t="s">
        <v>647</v>
      </c>
      <c r="E235" s="17" t="s">
        <v>569</v>
      </c>
      <c r="F235" s="17" t="s">
        <v>215</v>
      </c>
      <c r="G235" s="17" t="s">
        <v>198</v>
      </c>
      <c r="H235" s="17" t="s">
        <v>564</v>
      </c>
      <c r="I235" s="17" t="s">
        <v>119</v>
      </c>
      <c r="J235" s="17" t="s">
        <v>120</v>
      </c>
      <c r="K235" s="17" t="s">
        <v>570</v>
      </c>
      <c r="L235" s="3">
        <v>2022</v>
      </c>
      <c r="M235" s="17" t="s">
        <v>566</v>
      </c>
      <c r="N235" s="16">
        <v>44733</v>
      </c>
      <c r="O235" s="16">
        <v>44733</v>
      </c>
      <c r="P235" s="3">
        <v>8</v>
      </c>
      <c r="Q235" s="3"/>
    </row>
    <row r="236" spans="1:17" x14ac:dyDescent="0.25">
      <c r="A236" s="3">
        <v>235</v>
      </c>
      <c r="B236" s="3" t="s">
        <v>112</v>
      </c>
      <c r="C236" s="17" t="s">
        <v>648</v>
      </c>
      <c r="D236" s="3" t="s">
        <v>649</v>
      </c>
      <c r="E236" s="17" t="s">
        <v>650</v>
      </c>
      <c r="F236" s="17" t="s">
        <v>215</v>
      </c>
      <c r="G236" s="17" t="s">
        <v>198</v>
      </c>
      <c r="H236" s="17" t="s">
        <v>573</v>
      </c>
      <c r="I236" s="17" t="s">
        <v>119</v>
      </c>
      <c r="J236" s="17" t="s">
        <v>120</v>
      </c>
      <c r="K236" s="17" t="s">
        <v>570</v>
      </c>
      <c r="L236" s="3">
        <v>2022</v>
      </c>
      <c r="M236" s="17" t="s">
        <v>566</v>
      </c>
      <c r="N236" s="16">
        <v>44733</v>
      </c>
      <c r="O236" s="16">
        <v>44733</v>
      </c>
      <c r="P236" s="3">
        <v>8</v>
      </c>
      <c r="Q236" s="3"/>
    </row>
    <row r="237" spans="1:17" x14ac:dyDescent="0.25">
      <c r="A237" s="3">
        <v>236</v>
      </c>
      <c r="B237" s="3" t="s">
        <v>112</v>
      </c>
      <c r="C237" s="17" t="s">
        <v>651</v>
      </c>
      <c r="D237" s="3" t="s">
        <v>652</v>
      </c>
      <c r="E237" s="17" t="s">
        <v>576</v>
      </c>
      <c r="F237" s="17" t="s">
        <v>215</v>
      </c>
      <c r="G237" s="17" t="s">
        <v>198</v>
      </c>
      <c r="H237" s="17" t="s">
        <v>577</v>
      </c>
      <c r="I237" s="17" t="s">
        <v>119</v>
      </c>
      <c r="J237" s="17" t="s">
        <v>120</v>
      </c>
      <c r="K237" s="17" t="s">
        <v>570</v>
      </c>
      <c r="L237" s="3">
        <v>2022</v>
      </c>
      <c r="M237" s="17" t="s">
        <v>566</v>
      </c>
      <c r="N237" s="16">
        <v>44733</v>
      </c>
      <c r="O237" s="16">
        <v>44733</v>
      </c>
      <c r="P237" s="3">
        <v>8</v>
      </c>
      <c r="Q237" s="3"/>
    </row>
    <row r="238" spans="1:17" x14ac:dyDescent="0.25">
      <c r="A238" s="3">
        <v>237</v>
      </c>
      <c r="B238" s="3" t="s">
        <v>112</v>
      </c>
      <c r="C238" s="17" t="s">
        <v>653</v>
      </c>
      <c r="D238" s="3" t="s">
        <v>654</v>
      </c>
      <c r="E238" s="17" t="s">
        <v>650</v>
      </c>
      <c r="F238" s="17" t="s">
        <v>215</v>
      </c>
      <c r="G238" s="17" t="s">
        <v>198</v>
      </c>
      <c r="H238" s="17" t="s">
        <v>573</v>
      </c>
      <c r="I238" s="17" t="s">
        <v>119</v>
      </c>
      <c r="J238" s="17" t="s">
        <v>120</v>
      </c>
      <c r="K238" s="17" t="s">
        <v>570</v>
      </c>
      <c r="L238" s="3">
        <v>2022</v>
      </c>
      <c r="M238" s="17" t="s">
        <v>566</v>
      </c>
      <c r="N238" s="16">
        <v>44733</v>
      </c>
      <c r="O238" s="16">
        <v>44733</v>
      </c>
      <c r="P238" s="3">
        <v>8</v>
      </c>
      <c r="Q238" s="3"/>
    </row>
    <row r="239" spans="1:17" x14ac:dyDescent="0.25">
      <c r="A239" s="3">
        <v>238</v>
      </c>
      <c r="B239" s="3" t="s">
        <v>112</v>
      </c>
      <c r="C239" s="17" t="s">
        <v>655</v>
      </c>
      <c r="D239" s="3" t="s">
        <v>656</v>
      </c>
      <c r="E239" s="17" t="s">
        <v>615</v>
      </c>
      <c r="F239" s="20" t="s">
        <v>337</v>
      </c>
      <c r="G239" s="17" t="s">
        <v>198</v>
      </c>
      <c r="H239" s="17" t="s">
        <v>577</v>
      </c>
      <c r="I239" s="17" t="s">
        <v>119</v>
      </c>
      <c r="J239" s="17" t="s">
        <v>120</v>
      </c>
      <c r="K239" s="17" t="s">
        <v>570</v>
      </c>
      <c r="L239" s="3">
        <v>2022</v>
      </c>
      <c r="M239" s="17" t="s">
        <v>566</v>
      </c>
      <c r="N239" s="16">
        <v>44733</v>
      </c>
      <c r="O239" s="16">
        <v>44733</v>
      </c>
      <c r="P239" s="3">
        <v>8</v>
      </c>
      <c r="Q239" s="3"/>
    </row>
    <row r="240" spans="1:17" x14ac:dyDescent="0.25">
      <c r="A240" s="3">
        <v>239</v>
      </c>
      <c r="B240" s="3" t="s">
        <v>112</v>
      </c>
      <c r="C240" s="20" t="s">
        <v>657</v>
      </c>
      <c r="D240" s="3" t="s">
        <v>658</v>
      </c>
      <c r="E240" s="17" t="s">
        <v>569</v>
      </c>
      <c r="F240" s="20" t="s">
        <v>238</v>
      </c>
      <c r="G240" s="17" t="s">
        <v>198</v>
      </c>
      <c r="H240" s="17" t="s">
        <v>564</v>
      </c>
      <c r="I240" s="17" t="s">
        <v>119</v>
      </c>
      <c r="J240" s="17" t="s">
        <v>120</v>
      </c>
      <c r="K240" s="17" t="s">
        <v>570</v>
      </c>
      <c r="L240" s="3">
        <v>2022</v>
      </c>
      <c r="M240" s="17" t="s">
        <v>566</v>
      </c>
      <c r="N240" s="16">
        <v>44733</v>
      </c>
      <c r="O240" s="16">
        <v>44733</v>
      </c>
      <c r="P240" s="3">
        <v>8</v>
      </c>
      <c r="Q240" s="3"/>
    </row>
    <row r="241" spans="1:17" x14ac:dyDescent="0.25">
      <c r="A241" s="3">
        <v>240</v>
      </c>
      <c r="B241" s="3" t="s">
        <v>112</v>
      </c>
      <c r="C241" s="20" t="s">
        <v>659</v>
      </c>
      <c r="D241" s="3" t="s">
        <v>660</v>
      </c>
      <c r="E241" s="17" t="s">
        <v>160</v>
      </c>
      <c r="F241" s="20" t="s">
        <v>238</v>
      </c>
      <c r="G241" s="17" t="s">
        <v>198</v>
      </c>
      <c r="H241" s="17" t="s">
        <v>573</v>
      </c>
      <c r="I241" s="17" t="s">
        <v>119</v>
      </c>
      <c r="J241" s="17" t="s">
        <v>120</v>
      </c>
      <c r="K241" s="17" t="s">
        <v>570</v>
      </c>
      <c r="L241" s="3">
        <v>2022</v>
      </c>
      <c r="M241" s="17" t="s">
        <v>566</v>
      </c>
      <c r="N241" s="16">
        <v>44733</v>
      </c>
      <c r="O241" s="16">
        <v>44733</v>
      </c>
      <c r="P241" s="3">
        <v>8</v>
      </c>
      <c r="Q241" s="3"/>
    </row>
    <row r="242" spans="1:17" x14ac:dyDescent="0.25">
      <c r="A242" s="3">
        <v>241</v>
      </c>
      <c r="B242" s="3" t="s">
        <v>112</v>
      </c>
      <c r="C242" s="20" t="s">
        <v>661</v>
      </c>
      <c r="D242" s="3" t="s">
        <v>662</v>
      </c>
      <c r="E242" s="17" t="s">
        <v>596</v>
      </c>
      <c r="F242" s="20" t="s">
        <v>238</v>
      </c>
      <c r="G242" s="17" t="s">
        <v>198</v>
      </c>
      <c r="H242" s="17" t="s">
        <v>573</v>
      </c>
      <c r="I242" s="17" t="s">
        <v>119</v>
      </c>
      <c r="J242" s="17" t="s">
        <v>120</v>
      </c>
      <c r="K242" s="17" t="s">
        <v>570</v>
      </c>
      <c r="L242" s="3">
        <v>2022</v>
      </c>
      <c r="M242" s="17" t="s">
        <v>566</v>
      </c>
      <c r="N242" s="16">
        <v>44733</v>
      </c>
      <c r="O242" s="16">
        <v>44733</v>
      </c>
      <c r="P242" s="3">
        <v>8</v>
      </c>
      <c r="Q242" s="3"/>
    </row>
    <row r="243" spans="1:17" x14ac:dyDescent="0.25">
      <c r="A243" s="3">
        <v>242</v>
      </c>
      <c r="B243" s="3" t="s">
        <v>112</v>
      </c>
      <c r="C243" s="20" t="s">
        <v>663</v>
      </c>
      <c r="D243" s="3" t="s">
        <v>664</v>
      </c>
      <c r="E243" s="17" t="s">
        <v>576</v>
      </c>
      <c r="F243" s="20" t="s">
        <v>238</v>
      </c>
      <c r="G243" s="17" t="s">
        <v>198</v>
      </c>
      <c r="H243" s="17" t="s">
        <v>577</v>
      </c>
      <c r="I243" s="17" t="s">
        <v>119</v>
      </c>
      <c r="J243" s="17" t="s">
        <v>120</v>
      </c>
      <c r="K243" s="17" t="s">
        <v>570</v>
      </c>
      <c r="L243" s="3">
        <v>2022</v>
      </c>
      <c r="M243" s="17" t="s">
        <v>566</v>
      </c>
      <c r="N243" s="16">
        <v>44733</v>
      </c>
      <c r="O243" s="16">
        <v>44733</v>
      </c>
      <c r="P243" s="3">
        <v>8</v>
      </c>
      <c r="Q243" s="3"/>
    </row>
    <row r="244" spans="1:17" x14ac:dyDescent="0.25">
      <c r="A244" s="3">
        <v>243</v>
      </c>
      <c r="B244" s="3" t="s">
        <v>112</v>
      </c>
      <c r="C244" s="20" t="s">
        <v>665</v>
      </c>
      <c r="D244" s="3" t="s">
        <v>666</v>
      </c>
      <c r="E244" s="17" t="s">
        <v>584</v>
      </c>
      <c r="F244" s="20" t="s">
        <v>238</v>
      </c>
      <c r="G244" s="17" t="s">
        <v>198</v>
      </c>
      <c r="H244" s="17" t="s">
        <v>564</v>
      </c>
      <c r="I244" s="17" t="s">
        <v>119</v>
      </c>
      <c r="J244" s="17" t="s">
        <v>120</v>
      </c>
      <c r="K244" s="17" t="s">
        <v>570</v>
      </c>
      <c r="L244" s="3">
        <v>2022</v>
      </c>
      <c r="M244" s="17" t="s">
        <v>566</v>
      </c>
      <c r="N244" s="16">
        <v>44733</v>
      </c>
      <c r="O244" s="16">
        <v>44733</v>
      </c>
      <c r="P244" s="3">
        <v>8</v>
      </c>
      <c r="Q244" s="3"/>
    </row>
    <row r="245" spans="1:17" x14ac:dyDescent="0.25">
      <c r="A245" s="3">
        <v>244</v>
      </c>
      <c r="B245" s="3" t="s">
        <v>112</v>
      </c>
      <c r="C245" s="17" t="s">
        <v>667</v>
      </c>
      <c r="D245" s="3" t="s">
        <v>668</v>
      </c>
      <c r="E245" s="17" t="s">
        <v>669</v>
      </c>
      <c r="F245" s="17" t="s">
        <v>257</v>
      </c>
      <c r="G245" s="17" t="s">
        <v>198</v>
      </c>
      <c r="H245" s="17" t="s">
        <v>564</v>
      </c>
      <c r="I245" s="17" t="s">
        <v>119</v>
      </c>
      <c r="J245" s="17" t="s">
        <v>120</v>
      </c>
      <c r="K245" s="17" t="s">
        <v>570</v>
      </c>
      <c r="L245" s="3">
        <v>2022</v>
      </c>
      <c r="M245" s="17" t="s">
        <v>566</v>
      </c>
      <c r="N245" s="16">
        <v>44733</v>
      </c>
      <c r="O245" s="16">
        <v>44733</v>
      </c>
      <c r="P245" s="3">
        <v>8</v>
      </c>
      <c r="Q245" s="3"/>
    </row>
    <row r="246" spans="1:17" x14ac:dyDescent="0.25">
      <c r="A246" s="3">
        <v>245</v>
      </c>
      <c r="B246" s="3" t="s">
        <v>112</v>
      </c>
      <c r="C246" s="17" t="s">
        <v>670</v>
      </c>
      <c r="D246" s="3" t="s">
        <v>671</v>
      </c>
      <c r="E246" s="17" t="s">
        <v>650</v>
      </c>
      <c r="F246" s="17" t="s">
        <v>257</v>
      </c>
      <c r="G246" s="17" t="s">
        <v>198</v>
      </c>
      <c r="H246" s="17" t="s">
        <v>573</v>
      </c>
      <c r="I246" s="17" t="s">
        <v>119</v>
      </c>
      <c r="J246" s="17" t="s">
        <v>120</v>
      </c>
      <c r="K246" s="17" t="s">
        <v>570</v>
      </c>
      <c r="L246" s="3">
        <v>2022</v>
      </c>
      <c r="M246" s="17" t="s">
        <v>566</v>
      </c>
      <c r="N246" s="16">
        <v>44733</v>
      </c>
      <c r="O246" s="16">
        <v>44733</v>
      </c>
      <c r="P246" s="3">
        <v>8</v>
      </c>
      <c r="Q246" s="3"/>
    </row>
    <row r="247" spans="1:17" x14ac:dyDescent="0.25">
      <c r="A247" s="3">
        <v>246</v>
      </c>
      <c r="B247" s="3" t="s">
        <v>112</v>
      </c>
      <c r="C247" s="17" t="s">
        <v>672</v>
      </c>
      <c r="D247" s="3" t="s">
        <v>673</v>
      </c>
      <c r="E247" s="17" t="s">
        <v>576</v>
      </c>
      <c r="F247" s="17" t="s">
        <v>257</v>
      </c>
      <c r="G247" s="17" t="s">
        <v>198</v>
      </c>
      <c r="H247" s="17" t="s">
        <v>577</v>
      </c>
      <c r="I247" s="17" t="s">
        <v>119</v>
      </c>
      <c r="J247" s="17" t="s">
        <v>120</v>
      </c>
      <c r="K247" s="17" t="s">
        <v>570</v>
      </c>
      <c r="L247" s="3">
        <v>2022</v>
      </c>
      <c r="M247" s="17" t="s">
        <v>566</v>
      </c>
      <c r="N247" s="16">
        <v>44733</v>
      </c>
      <c r="O247" s="16">
        <v>44733</v>
      </c>
      <c r="P247" s="3">
        <v>8</v>
      </c>
      <c r="Q247" s="3"/>
    </row>
    <row r="248" spans="1:17" x14ac:dyDescent="0.25">
      <c r="A248" s="3">
        <v>247</v>
      </c>
      <c r="B248" s="3" t="s">
        <v>112</v>
      </c>
      <c r="C248" s="17" t="s">
        <v>674</v>
      </c>
      <c r="D248" s="3" t="s">
        <v>675</v>
      </c>
      <c r="E248" s="17" t="s">
        <v>407</v>
      </c>
      <c r="F248" s="17" t="s">
        <v>517</v>
      </c>
      <c r="G248" s="17" t="s">
        <v>117</v>
      </c>
      <c r="H248" s="17" t="s">
        <v>118</v>
      </c>
      <c r="I248" s="17" t="s">
        <v>119</v>
      </c>
      <c r="J248" s="17" t="s">
        <v>120</v>
      </c>
      <c r="K248" s="17" t="s">
        <v>570</v>
      </c>
      <c r="L248" s="3">
        <v>2022</v>
      </c>
      <c r="M248" s="17" t="s">
        <v>566</v>
      </c>
      <c r="N248" s="16">
        <v>44736</v>
      </c>
      <c r="O248" s="16">
        <v>44736</v>
      </c>
      <c r="P248" s="3">
        <v>8</v>
      </c>
      <c r="Q248" s="3"/>
    </row>
    <row r="249" spans="1:17" x14ac:dyDescent="0.25">
      <c r="A249" s="3">
        <v>248</v>
      </c>
      <c r="B249" s="3" t="s">
        <v>112</v>
      </c>
      <c r="C249" s="17" t="s">
        <v>676</v>
      </c>
      <c r="D249" s="3" t="s">
        <v>677</v>
      </c>
      <c r="E249" s="17" t="s">
        <v>678</v>
      </c>
      <c r="F249" s="17" t="s">
        <v>517</v>
      </c>
      <c r="G249" s="17" t="s">
        <v>117</v>
      </c>
      <c r="H249" s="17" t="s">
        <v>118</v>
      </c>
      <c r="I249" s="17" t="s">
        <v>119</v>
      </c>
      <c r="J249" s="17" t="s">
        <v>120</v>
      </c>
      <c r="K249" s="17" t="s">
        <v>570</v>
      </c>
      <c r="L249" s="3">
        <v>2022</v>
      </c>
      <c r="M249" s="17" t="s">
        <v>566</v>
      </c>
      <c r="N249" s="16">
        <v>44736</v>
      </c>
      <c r="O249" s="16">
        <v>44736</v>
      </c>
      <c r="P249" s="3">
        <v>8</v>
      </c>
      <c r="Q249" s="3"/>
    </row>
    <row r="250" spans="1:17" x14ac:dyDescent="0.25">
      <c r="A250" s="3">
        <v>249</v>
      </c>
      <c r="B250" s="3" t="s">
        <v>112</v>
      </c>
      <c r="C250" s="17" t="s">
        <v>679</v>
      </c>
      <c r="D250" s="3" t="s">
        <v>680</v>
      </c>
      <c r="E250" s="17" t="s">
        <v>407</v>
      </c>
      <c r="F250" s="17" t="s">
        <v>290</v>
      </c>
      <c r="G250" s="17" t="s">
        <v>117</v>
      </c>
      <c r="H250" s="17" t="s">
        <v>118</v>
      </c>
      <c r="I250" s="17" t="s">
        <v>119</v>
      </c>
      <c r="J250" s="17" t="s">
        <v>120</v>
      </c>
      <c r="K250" s="17" t="s">
        <v>570</v>
      </c>
      <c r="L250" s="3">
        <v>2022</v>
      </c>
      <c r="M250" s="17" t="s">
        <v>566</v>
      </c>
      <c r="N250" s="16">
        <v>44736</v>
      </c>
      <c r="O250" s="16">
        <v>44736</v>
      </c>
      <c r="P250" s="3">
        <v>8</v>
      </c>
      <c r="Q250" s="3"/>
    </row>
    <row r="251" spans="1:17" x14ac:dyDescent="0.25">
      <c r="A251" s="3">
        <v>250</v>
      </c>
      <c r="B251" s="3" t="s">
        <v>112</v>
      </c>
      <c r="C251" s="3" t="s">
        <v>681</v>
      </c>
      <c r="D251" s="3" t="s">
        <v>682</v>
      </c>
      <c r="E251" s="3" t="s">
        <v>683</v>
      </c>
      <c r="F251" s="17" t="s">
        <v>557</v>
      </c>
      <c r="G251" s="17" t="s">
        <v>557</v>
      </c>
      <c r="H251" s="3" t="s">
        <v>573</v>
      </c>
      <c r="I251" s="17" t="s">
        <v>502</v>
      </c>
      <c r="J251" s="17" t="s">
        <v>120</v>
      </c>
      <c r="K251" s="3" t="s">
        <v>684</v>
      </c>
      <c r="L251" s="3">
        <v>2022</v>
      </c>
      <c r="M251" s="17" t="s">
        <v>566</v>
      </c>
      <c r="N251" s="16">
        <v>44736</v>
      </c>
      <c r="O251" s="16">
        <v>44738</v>
      </c>
      <c r="P251" s="3">
        <v>8</v>
      </c>
      <c r="Q251" s="3" t="s">
        <v>685</v>
      </c>
    </row>
    <row r="252" spans="1:17" x14ac:dyDescent="0.25">
      <c r="A252" s="3">
        <v>251</v>
      </c>
      <c r="B252" s="3" t="s">
        <v>112</v>
      </c>
      <c r="C252" s="17" t="s">
        <v>686</v>
      </c>
      <c r="D252" s="3" t="s">
        <v>687</v>
      </c>
      <c r="E252" s="17" t="s">
        <v>164</v>
      </c>
      <c r="F252" s="17" t="s">
        <v>116</v>
      </c>
      <c r="G252" s="17" t="s">
        <v>117</v>
      </c>
      <c r="H252" s="17" t="s">
        <v>118</v>
      </c>
      <c r="I252" s="17" t="s">
        <v>119</v>
      </c>
      <c r="J252" s="17" t="s">
        <v>120</v>
      </c>
      <c r="K252" s="17" t="s">
        <v>688</v>
      </c>
      <c r="L252" s="3">
        <v>2022</v>
      </c>
      <c r="M252" s="17" t="s">
        <v>689</v>
      </c>
      <c r="N252" s="16">
        <v>44754</v>
      </c>
      <c r="O252" s="16">
        <v>44754</v>
      </c>
      <c r="P252" s="3">
        <v>8</v>
      </c>
      <c r="Q252" s="3"/>
    </row>
    <row r="253" spans="1:17" x14ac:dyDescent="0.25">
      <c r="A253" s="3">
        <v>252</v>
      </c>
      <c r="B253" s="3" t="s">
        <v>112</v>
      </c>
      <c r="C253" s="17" t="s">
        <v>690</v>
      </c>
      <c r="D253" s="3" t="s">
        <v>691</v>
      </c>
      <c r="E253" s="17" t="s">
        <v>169</v>
      </c>
      <c r="F253" s="17" t="s">
        <v>197</v>
      </c>
      <c r="G253" s="17" t="s">
        <v>198</v>
      </c>
      <c r="H253" s="17" t="s">
        <v>118</v>
      </c>
      <c r="I253" s="17" t="s">
        <v>119</v>
      </c>
      <c r="J253" s="17" t="s">
        <v>120</v>
      </c>
      <c r="K253" s="17" t="s">
        <v>688</v>
      </c>
      <c r="L253" s="3">
        <v>2022</v>
      </c>
      <c r="M253" s="17" t="s">
        <v>689</v>
      </c>
      <c r="N253" s="16">
        <v>44765</v>
      </c>
      <c r="O253" s="16">
        <v>44765</v>
      </c>
      <c r="P253" s="3">
        <v>8</v>
      </c>
      <c r="Q253" s="3"/>
    </row>
    <row r="458" spans="6:7" x14ac:dyDescent="0.25"/>
  </sheetData>
  <conditionalFormatting sqref="D2:D253">
    <cfRule type="duplicateValues" dxfId="0" priority="1"/>
  </conditionalFormatting>
  <pageMargins left="0.7" right="0.7" top="0.75" bottom="0.75" header="0.3" footer="0.3"/>
  <ignoredErrors>
    <ignoredError sqref="C2:C253" numberStoredAsText="1"/>
  </ignoredError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0"/>
  <sheetViews>
    <sheetView zoomScale="86" workbookViewId="0">
      <selection activeCell="D9" sqref="D9"/>
    </sheetView>
  </sheetViews>
  <sheetFormatPr defaultColWidth="8.85546875" defaultRowHeight="15" x14ac:dyDescent="0.25"/>
  <cols>
    <col min="1" max="1" width="4" customWidth="1"/>
    <col min="2" max="2" width="30" customWidth="1"/>
    <col min="3" max="3" width="36" customWidth="1"/>
    <col min="4" max="4" width="65" customWidth="1"/>
    <col min="5" max="5" width="16" customWidth="1"/>
    <col min="6" max="8" width="18" customWidth="1"/>
    <col min="9" max="9" width="24" customWidth="1"/>
    <col min="10" max="10" width="18" customWidth="1"/>
    <col min="11" max="11" width="8" customWidth="1"/>
  </cols>
  <sheetData>
    <row r="1" spans="1:11" ht="34.700000000000003" customHeight="1" x14ac:dyDescent="0.25">
      <c r="A1" s="92" t="s">
        <v>738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26.8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34.700000000000003" customHeight="1" x14ac:dyDescent="0.25">
      <c r="A3" s="93" t="s">
        <v>695</v>
      </c>
      <c r="B3" s="93"/>
      <c r="C3" s="93"/>
      <c r="D3" s="93"/>
      <c r="E3" s="93"/>
      <c r="F3" s="93"/>
      <c r="G3" s="93"/>
      <c r="H3" s="93"/>
      <c r="I3" s="93"/>
      <c r="J3" s="93"/>
      <c r="K3" s="93"/>
    </row>
    <row r="4" spans="1:11" ht="34.700000000000003" customHeight="1" x14ac:dyDescent="0.25">
      <c r="A4" s="93" t="s">
        <v>696</v>
      </c>
      <c r="B4" s="93"/>
      <c r="C4" s="93"/>
      <c r="D4" s="93"/>
      <c r="E4" s="93"/>
      <c r="F4" s="93"/>
      <c r="G4" s="93"/>
      <c r="H4" s="93"/>
      <c r="I4" s="93"/>
      <c r="J4" s="93"/>
      <c r="K4" s="93"/>
    </row>
    <row r="5" spans="1:11" ht="26.8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1" ht="26.85" customHeight="1" x14ac:dyDescent="0.25">
      <c r="A6" s="36" t="s">
        <v>697</v>
      </c>
      <c r="B6" s="94" t="s">
        <v>698</v>
      </c>
      <c r="C6" s="94"/>
      <c r="D6" s="94"/>
      <c r="E6" s="94"/>
      <c r="F6" s="94"/>
      <c r="G6" s="94"/>
      <c r="H6" s="94"/>
      <c r="I6" s="94"/>
      <c r="J6" s="94"/>
      <c r="K6" s="36">
        <v>35</v>
      </c>
    </row>
    <row r="7" spans="1:11" ht="26.85" customHeight="1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spans="1:11" ht="26.85" customHeight="1" x14ac:dyDescent="0.25">
      <c r="A8" s="39"/>
      <c r="B8" s="40" t="s">
        <v>41</v>
      </c>
      <c r="C8" s="41"/>
      <c r="D8" s="32" t="s">
        <v>690</v>
      </c>
      <c r="E8" s="39"/>
      <c r="F8" s="39"/>
      <c r="G8" s="39"/>
      <c r="H8" s="39"/>
      <c r="I8" s="39"/>
      <c r="J8" s="39"/>
      <c r="K8" s="39"/>
    </row>
    <row r="9" spans="1:11" ht="26.85" customHeight="1" x14ac:dyDescent="0.25">
      <c r="A9" s="39"/>
      <c r="B9" s="40"/>
      <c r="C9" s="41"/>
      <c r="D9" s="50"/>
      <c r="E9" s="39"/>
      <c r="F9" s="39"/>
      <c r="G9" s="39"/>
      <c r="H9" s="39"/>
      <c r="I9" s="39"/>
      <c r="J9" s="39"/>
      <c r="K9" s="39"/>
    </row>
    <row r="10" spans="1:11" ht="26.85" customHeight="1" x14ac:dyDescent="0.25">
      <c r="A10" s="39"/>
      <c r="B10" s="40" t="s">
        <v>76</v>
      </c>
      <c r="C10" s="41"/>
      <c r="D10" s="50" t="str">
        <f>VLOOKUP(D8,Database!$C$2:$D$253,2,0)</f>
        <v>BARLIANA DYAN PUSPITA</v>
      </c>
      <c r="E10" s="39"/>
      <c r="F10" s="39"/>
      <c r="G10" s="39"/>
      <c r="H10" s="39"/>
      <c r="I10" s="39"/>
      <c r="J10" s="39"/>
      <c r="K10" s="39"/>
    </row>
    <row r="11" spans="1:11" ht="26.85" customHeight="1" x14ac:dyDescent="0.25">
      <c r="A11" s="39"/>
      <c r="B11" s="40" t="s">
        <v>692</v>
      </c>
      <c r="C11" s="41"/>
      <c r="D11" s="50" t="str">
        <f>VLOOKUP(D8,Database!$C$2:$K$253,9,0)</f>
        <v>TTT Basic Sales Module</v>
      </c>
      <c r="E11" s="39"/>
      <c r="F11" s="39"/>
      <c r="G11" s="39"/>
      <c r="H11" s="39"/>
      <c r="I11" s="39"/>
      <c r="J11" s="39"/>
      <c r="K11" s="39"/>
    </row>
    <row r="12" spans="1:11" ht="26.85" customHeight="1" x14ac:dyDescent="0.25">
      <c r="A12" s="39"/>
      <c r="B12" s="40" t="s">
        <v>693</v>
      </c>
      <c r="C12" s="43"/>
      <c r="D12" s="51">
        <f>VLOOKUP(D8,Database!$C$2:$Q$253,12,0)</f>
        <v>44765</v>
      </c>
      <c r="E12" s="39"/>
      <c r="F12" s="39"/>
      <c r="G12" s="39"/>
      <c r="H12" s="39"/>
      <c r="I12" s="39"/>
      <c r="J12" s="39"/>
      <c r="K12" s="39"/>
    </row>
    <row r="13" spans="1:11" ht="26.85" customHeight="1" x14ac:dyDescent="0.25">
      <c r="A13" s="39"/>
      <c r="B13" s="40" t="s">
        <v>699</v>
      </c>
      <c r="C13" s="43"/>
      <c r="D13" s="51">
        <f>VLOOKUP(D8,Database!$C$2:$Q$253,13,0)</f>
        <v>44765</v>
      </c>
      <c r="E13" s="39"/>
      <c r="F13" s="39"/>
      <c r="G13" s="39"/>
      <c r="H13" s="39"/>
      <c r="I13" s="39"/>
      <c r="J13" s="39"/>
      <c r="K13" s="39"/>
    </row>
    <row r="14" spans="1:11" ht="26.85" customHeight="1" x14ac:dyDescent="0.25">
      <c r="A14" s="39"/>
      <c r="B14" s="40" t="s">
        <v>700</v>
      </c>
      <c r="C14" s="41"/>
      <c r="D14" s="50" t="str">
        <f>VLOOKUP(D8,Database!$C$2:$G$253,5,0)</f>
        <v>Central</v>
      </c>
      <c r="E14" s="39"/>
      <c r="F14" s="39"/>
      <c r="G14" s="39"/>
      <c r="H14" s="39"/>
      <c r="I14" s="39"/>
      <c r="J14" s="39"/>
      <c r="K14" s="39"/>
    </row>
    <row r="15" spans="1:11" ht="26.85" customHeight="1" x14ac:dyDescent="0.25">
      <c r="A15" s="39"/>
      <c r="B15" s="40" t="s">
        <v>701</v>
      </c>
      <c r="C15" s="41"/>
      <c r="D15" s="50" t="str">
        <f>VLOOKUP(D8,Database!$C$2:$F$253,4,0)</f>
        <v>CENTRAL JAVA 1</v>
      </c>
      <c r="E15" s="39"/>
      <c r="F15" s="39"/>
      <c r="G15" s="39"/>
      <c r="H15" s="39"/>
      <c r="I15" s="39"/>
      <c r="J15" s="39"/>
      <c r="K15" s="39"/>
    </row>
    <row r="16" spans="1:11" ht="26.85" customHeight="1" x14ac:dyDescent="0.25">
      <c r="A16" s="39"/>
      <c r="B16" s="40" t="s">
        <v>702</v>
      </c>
      <c r="C16" s="41"/>
      <c r="D16" s="50" t="str">
        <f>VLOOKUP(D8,Database!$C$2:$E$253,3,0)</f>
        <v>FIELD SALES SUPERVISOR</v>
      </c>
      <c r="E16" s="39"/>
      <c r="F16" s="39"/>
      <c r="G16" s="39"/>
      <c r="H16" s="39"/>
      <c r="I16" s="39"/>
      <c r="J16" s="39"/>
      <c r="K16" s="39"/>
    </row>
    <row r="17" spans="1:11" ht="26.85" customHeight="1" x14ac:dyDescent="0.25">
      <c r="A17" s="39"/>
      <c r="B17" s="40" t="s">
        <v>703</v>
      </c>
      <c r="C17" s="41"/>
      <c r="D17" s="50" t="str">
        <f>VLOOKUP(D8,Database!$C$2:$P$253,7,0)</f>
        <v>Internal</v>
      </c>
      <c r="E17" s="39"/>
      <c r="F17" s="39"/>
      <c r="G17" s="39"/>
      <c r="H17" s="39"/>
      <c r="I17" s="39"/>
      <c r="J17" s="39"/>
      <c r="K17" s="39"/>
    </row>
    <row r="18" spans="1:11" ht="26.85" customHeight="1" x14ac:dyDescent="0.25">
      <c r="A18" s="39"/>
      <c r="B18" s="40" t="s">
        <v>704</v>
      </c>
      <c r="C18" s="41"/>
      <c r="D18" s="50" t="str">
        <f>VLOOKUP(D8,Database!$C$2:$P$253,8,0)</f>
        <v>Training</v>
      </c>
      <c r="E18" s="39"/>
      <c r="F18" s="39"/>
      <c r="G18" s="39"/>
      <c r="H18" s="39"/>
      <c r="I18" s="39"/>
      <c r="J18" s="39"/>
      <c r="K18" s="39"/>
    </row>
    <row r="19" spans="1:11" ht="26.85" customHeight="1" x14ac:dyDescent="0.25">
      <c r="A19" s="39"/>
      <c r="B19" s="40" t="s">
        <v>110</v>
      </c>
      <c r="C19" s="41"/>
      <c r="D19" s="50">
        <f>VLOOKUP(D8,Database!$C$2:$P$253,14,0)</f>
        <v>8</v>
      </c>
      <c r="E19" s="39"/>
      <c r="F19" s="39"/>
      <c r="G19" s="39"/>
      <c r="H19" s="39"/>
      <c r="I19" s="39"/>
      <c r="J19" s="39"/>
      <c r="K19" s="39"/>
    </row>
    <row r="20" spans="1:11" ht="26.85" customHeight="1" x14ac:dyDescent="0.25">
      <c r="A20" s="39"/>
      <c r="B20" s="40" t="s">
        <v>705</v>
      </c>
      <c r="C20" s="41"/>
      <c r="D20" s="50">
        <f>VLOOKUP(D8,Database!$C$2:$Q$253,15,0)</f>
        <v>0</v>
      </c>
      <c r="E20" s="39"/>
      <c r="F20" s="39"/>
      <c r="G20" s="39"/>
      <c r="H20" s="39"/>
      <c r="I20" s="39"/>
      <c r="J20" s="39"/>
      <c r="K20" s="39"/>
    </row>
    <row r="21" spans="1:11" ht="26.85" customHeight="1" x14ac:dyDescent="0.25">
      <c r="A21" s="39"/>
      <c r="B21" s="40" t="s">
        <v>706</v>
      </c>
      <c r="C21" s="41"/>
      <c r="D21" s="50">
        <f>_xlfn.DAYS(D13,D12)</f>
        <v>0</v>
      </c>
      <c r="E21" s="39"/>
      <c r="F21" s="39"/>
      <c r="G21" s="39"/>
      <c r="H21" s="39"/>
      <c r="I21" s="39"/>
      <c r="J21" s="39"/>
      <c r="K21" s="39"/>
    </row>
    <row r="22" spans="1:11" ht="26.85" customHeight="1" x14ac:dyDescent="0.25">
      <c r="A22" s="39"/>
      <c r="B22" s="40" t="s">
        <v>707</v>
      </c>
      <c r="C22" s="41"/>
      <c r="D22" s="50" t="str">
        <f>IF(AND(D12&lt;&gt;"", D13&lt;&gt;"", D19&lt;&gt;""), "Valid", "Cek Data")</f>
        <v>Valid</v>
      </c>
      <c r="E22" s="39"/>
      <c r="F22" s="39"/>
      <c r="G22" s="39"/>
      <c r="H22" s="39"/>
      <c r="I22" s="39"/>
      <c r="J22" s="39"/>
      <c r="K22" s="39"/>
    </row>
    <row r="23" spans="1:11" ht="26.85" customHeight="1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</row>
    <row r="24" spans="1:11" ht="26.85" customHeight="1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 ht="26.85" customHeight="1" x14ac:dyDescent="0.25">
      <c r="A25" s="37" t="s">
        <v>708</v>
      </c>
      <c r="B25" s="95" t="s">
        <v>709</v>
      </c>
      <c r="C25" s="95"/>
      <c r="D25" s="95"/>
      <c r="E25" s="95"/>
      <c r="F25" s="95"/>
      <c r="G25" s="95"/>
      <c r="H25" s="95"/>
      <c r="I25" s="95"/>
      <c r="J25" s="95"/>
      <c r="K25" s="37">
        <v>35</v>
      </c>
    </row>
    <row r="26" spans="1:11" ht="26.85" customHeight="1" thickBot="1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 ht="26.85" customHeight="1" x14ac:dyDescent="0.25">
      <c r="A27" s="39"/>
      <c r="B27" s="52" t="s">
        <v>710</v>
      </c>
      <c r="C27" s="53" t="s">
        <v>557</v>
      </c>
      <c r="E27" s="39"/>
      <c r="F27" s="39"/>
      <c r="G27" s="39"/>
      <c r="H27" s="39"/>
      <c r="I27" s="39"/>
      <c r="J27" s="39"/>
      <c r="K27" s="39"/>
    </row>
    <row r="28" spans="1:11" ht="26.85" customHeight="1" x14ac:dyDescent="0.25">
      <c r="A28" s="39"/>
      <c r="B28" s="54" t="s">
        <v>711</v>
      </c>
      <c r="C28" s="55" t="s">
        <v>119</v>
      </c>
      <c r="E28" s="39"/>
      <c r="F28" s="39"/>
      <c r="G28" s="39"/>
      <c r="H28" s="39"/>
      <c r="I28" s="39"/>
      <c r="J28" s="39"/>
    </row>
    <row r="29" spans="1:11" ht="26.85" customHeight="1" x14ac:dyDescent="0.25">
      <c r="A29" s="39"/>
      <c r="B29" s="54" t="s">
        <v>712</v>
      </c>
      <c r="C29" s="55">
        <v>2022</v>
      </c>
      <c r="E29" s="39"/>
      <c r="F29" s="39"/>
      <c r="G29" s="39"/>
      <c r="H29" s="39"/>
      <c r="I29" s="39"/>
      <c r="J29" s="39"/>
      <c r="K29" s="39"/>
    </row>
    <row r="30" spans="1:11" ht="26.85" customHeight="1" x14ac:dyDescent="0.25">
      <c r="A30" s="39"/>
      <c r="B30" s="54"/>
      <c r="C30" s="55"/>
      <c r="D30" s="42"/>
      <c r="E30" s="39"/>
      <c r="F30" s="39"/>
      <c r="G30" s="39"/>
      <c r="H30" s="39"/>
      <c r="I30" s="39"/>
      <c r="J30" s="39"/>
      <c r="K30" s="39"/>
    </row>
    <row r="31" spans="1:11" ht="26.85" customHeight="1" x14ac:dyDescent="0.25">
      <c r="A31" s="39"/>
      <c r="B31" s="54" t="s">
        <v>713</v>
      </c>
      <c r="C31" s="55">
        <f>COUNTIFS(Database!$G$1:$G$253,'Trial 5'!C27,Database!$I$1:$I$253,'Trial 5'!C28,Database!$L$1:$L$253,'Trial 5'!C29)</f>
        <v>2</v>
      </c>
      <c r="D31" s="42"/>
      <c r="E31" s="39"/>
      <c r="F31" s="39"/>
      <c r="G31" s="39"/>
      <c r="H31" s="39"/>
      <c r="I31" s="39"/>
      <c r="J31" s="39"/>
      <c r="K31" s="39"/>
    </row>
    <row r="32" spans="1:11" ht="26.85" customHeight="1" x14ac:dyDescent="0.25">
      <c r="A32" s="39"/>
      <c r="B32" s="54" t="s">
        <v>714</v>
      </c>
      <c r="C32" s="55">
        <f>SUMIFS(Database!P2:P253,Database!G2:G253,'Trial 5'!C27,Database!I2:I253,'Trial 5'!C28,Database!L2:L253,'Trial 5'!C29)</f>
        <v>16</v>
      </c>
      <c r="D32" s="42" t="s">
        <v>715</v>
      </c>
      <c r="E32" s="39"/>
      <c r="F32" s="39"/>
      <c r="G32" s="39"/>
      <c r="H32" s="39"/>
      <c r="I32" s="39"/>
      <c r="J32" s="39"/>
      <c r="K32" s="39"/>
    </row>
    <row r="33" spans="1:11" ht="26.85" customHeight="1" x14ac:dyDescent="0.25">
      <c r="A33" s="39"/>
      <c r="B33" s="54" t="s">
        <v>716</v>
      </c>
      <c r="C33" s="56">
        <f>AVERAGEIFS(Database!P2:P253,Database!G2:G253,'Trial 5'!C27,Database!I2:I253,'Trial 5'!C28,Database!L2:L253,'Trial 5'!C29)</f>
        <v>8</v>
      </c>
      <c r="D33" s="42" t="s">
        <v>717</v>
      </c>
      <c r="E33" s="39"/>
      <c r="F33" s="39"/>
      <c r="G33" s="39"/>
      <c r="H33" s="39"/>
      <c r="I33" s="39"/>
      <c r="J33" s="39"/>
      <c r="K33" s="39"/>
    </row>
    <row r="34" spans="1:11" ht="26.85" customHeight="1" x14ac:dyDescent="0.25">
      <c r="A34" s="39"/>
      <c r="B34" s="54" t="s">
        <v>718</v>
      </c>
      <c r="C34" s="55">
        <f>_xlfn.MAXIFS(Database!P2:P253,Database!G2:G253,'Trial 5'!C27,Database!I2:I253,'Trial 5'!C28,Database!L2:L253,'Trial 5'!C29)</f>
        <v>8</v>
      </c>
      <c r="D34" s="42" t="s">
        <v>719</v>
      </c>
      <c r="E34" s="39"/>
      <c r="F34" s="39"/>
      <c r="G34" s="39"/>
      <c r="H34" s="39"/>
      <c r="I34" s="39"/>
      <c r="J34" s="39"/>
      <c r="K34" s="39"/>
    </row>
    <row r="35" spans="1:11" ht="26.85" customHeight="1" x14ac:dyDescent="0.25">
      <c r="A35" s="39"/>
      <c r="B35" s="54" t="s">
        <v>720</v>
      </c>
      <c r="C35" s="57"/>
      <c r="D35" s="42" t="s">
        <v>721</v>
      </c>
      <c r="E35" s="39"/>
      <c r="F35" s="39"/>
      <c r="G35" s="39"/>
      <c r="H35" s="39"/>
      <c r="I35" s="39"/>
      <c r="J35" s="39"/>
      <c r="K35" s="39"/>
    </row>
    <row r="36" spans="1:11" ht="26.85" customHeight="1" thickBot="1" x14ac:dyDescent="0.3">
      <c r="A36" s="39"/>
      <c r="B36" s="58" t="s">
        <v>722</v>
      </c>
      <c r="C36" s="59" t="str">
        <f>IF(C31&gt;30,"High Volume","Normal")</f>
        <v>Normal</v>
      </c>
      <c r="D36" s="42" t="s">
        <v>723</v>
      </c>
      <c r="E36" s="39"/>
      <c r="F36" s="39"/>
      <c r="G36" s="39"/>
      <c r="H36" s="39"/>
      <c r="I36" s="39"/>
      <c r="J36" s="39"/>
      <c r="K36" s="39"/>
    </row>
    <row r="37" spans="1:11" ht="26.85" customHeight="1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</row>
    <row r="38" spans="1:11" ht="26.85" customHeight="1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</row>
    <row r="39" spans="1:11" ht="26.85" customHeight="1" x14ac:dyDescent="0.25">
      <c r="A39" s="38" t="s">
        <v>724</v>
      </c>
      <c r="B39" s="91" t="s">
        <v>725</v>
      </c>
      <c r="C39" s="91"/>
      <c r="D39" s="91"/>
      <c r="E39" s="91"/>
      <c r="F39" s="91"/>
      <c r="G39" s="91"/>
      <c r="H39" s="91"/>
      <c r="I39" s="91"/>
      <c r="J39" s="91"/>
      <c r="K39" s="38">
        <v>15</v>
      </c>
    </row>
    <row r="40" spans="1:11" ht="26.85" customHeight="1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spans="1:11" ht="34.700000000000003" customHeight="1" x14ac:dyDescent="0.25">
      <c r="A41" s="39"/>
      <c r="B41" s="90" t="s">
        <v>726</v>
      </c>
      <c r="C41" s="90"/>
      <c r="D41" s="90"/>
      <c r="E41" s="90"/>
      <c r="F41" s="90"/>
      <c r="G41" s="90"/>
      <c r="H41" s="90"/>
      <c r="I41" s="90"/>
      <c r="J41" s="90"/>
      <c r="K41" s="90"/>
    </row>
    <row r="42" spans="1:11" ht="26.85" customHeight="1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</row>
    <row r="43" spans="1:11" ht="26.85" customHeight="1" x14ac:dyDescent="0.25">
      <c r="A43" s="39"/>
      <c r="B43" s="44" t="s">
        <v>700</v>
      </c>
      <c r="C43" s="44" t="s">
        <v>713</v>
      </c>
      <c r="D43" s="44" t="s">
        <v>714</v>
      </c>
      <c r="E43" s="44" t="s">
        <v>727</v>
      </c>
      <c r="F43" s="44" t="s">
        <v>728</v>
      </c>
      <c r="G43" s="44" t="s">
        <v>729</v>
      </c>
      <c r="H43" s="39"/>
      <c r="I43" s="39"/>
      <c r="J43" s="39"/>
      <c r="K43" s="39"/>
    </row>
    <row r="44" spans="1:11" ht="26.85" customHeight="1" x14ac:dyDescent="0.25">
      <c r="A44" s="39"/>
      <c r="B44" s="39"/>
      <c r="C44" s="39"/>
      <c r="D44" s="39"/>
      <c r="E44" s="39"/>
      <c r="F44" s="39"/>
      <c r="G44" s="45"/>
      <c r="H44" s="39"/>
      <c r="I44" s="39"/>
      <c r="J44" s="39"/>
      <c r="K44" s="39"/>
    </row>
    <row r="45" spans="1:11" ht="26.85" customHeight="1" x14ac:dyDescent="0.25">
      <c r="A45" s="39"/>
      <c r="B45" s="39"/>
      <c r="C45" s="39"/>
      <c r="D45" s="39"/>
      <c r="E45" s="39"/>
      <c r="F45" s="39"/>
      <c r="G45" s="45"/>
      <c r="H45" s="39"/>
      <c r="I45" s="39"/>
      <c r="J45" s="39"/>
      <c r="K45" s="39"/>
    </row>
    <row r="46" spans="1:11" ht="26.85" customHeight="1" x14ac:dyDescent="0.25">
      <c r="A46" s="39"/>
      <c r="B46" s="39"/>
      <c r="C46" s="39"/>
      <c r="D46" s="39"/>
      <c r="E46" s="39"/>
      <c r="F46" s="39"/>
      <c r="G46" s="45"/>
      <c r="H46" s="39"/>
      <c r="I46" s="39"/>
      <c r="J46" s="39"/>
      <c r="K46" s="39"/>
    </row>
    <row r="47" spans="1:11" ht="26.85" customHeight="1" x14ac:dyDescent="0.25">
      <c r="A47" s="39"/>
      <c r="B47" s="39"/>
      <c r="C47" s="39"/>
      <c r="D47" s="39"/>
      <c r="E47" s="39"/>
      <c r="F47" s="39"/>
      <c r="G47" s="45"/>
      <c r="H47" s="39"/>
      <c r="I47" s="39"/>
      <c r="J47" s="39"/>
      <c r="K47" s="39"/>
    </row>
    <row r="48" spans="1:11" ht="26.85" customHeight="1" x14ac:dyDescent="0.25">
      <c r="A48" s="39"/>
      <c r="B48" s="39"/>
      <c r="C48" s="39"/>
      <c r="D48" s="39"/>
      <c r="E48" s="39"/>
      <c r="F48" s="39"/>
      <c r="G48" s="45"/>
      <c r="H48" s="39"/>
      <c r="I48" s="39"/>
      <c r="J48" s="39"/>
      <c r="K48" s="39"/>
    </row>
    <row r="49" spans="1:11" ht="26.85" customHeight="1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</row>
    <row r="50" spans="1:11" ht="26.85" customHeight="1" x14ac:dyDescent="0.25"/>
    <row r="51" spans="1:11" ht="26.85" customHeight="1" x14ac:dyDescent="0.25"/>
    <row r="52" spans="1:11" ht="34.700000000000003" customHeight="1" x14ac:dyDescent="0.25"/>
    <row r="53" spans="1:11" ht="34.700000000000003" customHeight="1" x14ac:dyDescent="0.25"/>
    <row r="54" spans="1:11" ht="34.700000000000003" customHeight="1" x14ac:dyDescent="0.25"/>
    <row r="55" spans="1:11" ht="34.700000000000003" customHeight="1" x14ac:dyDescent="0.25"/>
    <row r="56" spans="1:11" ht="26.85" customHeight="1" x14ac:dyDescent="0.25"/>
    <row r="57" spans="1:11" ht="26.85" customHeight="1" x14ac:dyDescent="0.25"/>
    <row r="58" spans="1:11" ht="26.85" customHeight="1" x14ac:dyDescent="0.25"/>
    <row r="59" spans="1:11" ht="26.85" customHeight="1" x14ac:dyDescent="0.25"/>
    <row r="60" spans="1:11" ht="34.700000000000003" customHeight="1" x14ac:dyDescent="0.25"/>
    <row r="61" spans="1:11" ht="34.700000000000003" customHeight="1" x14ac:dyDescent="0.25"/>
    <row r="62" spans="1:11" ht="34.700000000000003" customHeight="1" x14ac:dyDescent="0.25"/>
    <row r="63" spans="1:11" ht="34.700000000000003" customHeight="1" x14ac:dyDescent="0.25"/>
    <row r="64" spans="1:11" ht="34.700000000000003" customHeight="1" x14ac:dyDescent="0.25"/>
    <row r="65" spans="1:11" ht="26.85" customHeight="1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ht="26.85" customHeight="1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 ht="26.85" customHeight="1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1:11" ht="26.85" customHeight="1" x14ac:dyDescent="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1:11" ht="26.85" customHeight="1" x14ac:dyDescent="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1:11" ht="26.85" customHeight="1" x14ac:dyDescent="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1" spans="1:11" ht="26.85" customHeight="1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spans="1:11" ht="26.85" customHeight="1" x14ac:dyDescent="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spans="1:11" ht="26.85" customHeight="1" x14ac:dyDescent="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spans="1:11" ht="26.85" customHeight="1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spans="1:11" ht="26.85" customHeight="1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spans="1:11" ht="26.85" customHeight="1" x14ac:dyDescent="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spans="1:11" ht="26.85" customHeight="1" x14ac:dyDescent="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spans="1:11" ht="26.85" customHeight="1" x14ac:dyDescent="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spans="1:11" ht="26.85" customHeight="1" x14ac:dyDescent="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1:11" ht="26.85" customHeight="1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spans="1:11" ht="26.85" customHeight="1" x14ac:dyDescent="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spans="1:11" ht="26.85" customHeight="1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spans="1:11" ht="26.85" customHeight="1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spans="1:11" ht="26.85" customHeight="1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spans="1:11" ht="26.85" customHeight="1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spans="1:11" ht="26.85" customHeight="1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spans="1:11" ht="26.85" customHeight="1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spans="1:11" ht="26.85" customHeight="1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spans="1:11" ht="26.85" customHeight="1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spans="1:11" ht="26.85" customHeight="1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</row>
  </sheetData>
  <mergeCells count="7">
    <mergeCell ref="A1:K1"/>
    <mergeCell ref="A3:K3"/>
    <mergeCell ref="A4:K4"/>
    <mergeCell ref="B6:J6"/>
    <mergeCell ref="B25:J25"/>
    <mergeCell ref="B39:J39"/>
    <mergeCell ref="B41:K41"/>
  </mergeCells>
  <dataValidations count="2">
    <dataValidation type="list" sqref="C28" xr:uid="{00000000-0002-0000-0800-000002000000}">
      <formula1>"Internal,External"</formula1>
    </dataValidation>
    <dataValidation type="list" allowBlank="1" showInputMessage="1" showErrorMessage="1" sqref="C27" xr:uid="{EE6A9AED-3D1E-4ED2-A5CD-8B9A08E985D9}">
      <formula1>"West,East,Central,HO,OIE,OIW"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800-000000000000}">
          <x14:formula1>
            <xm:f>Database!$C$2:$C$253</xm:f>
          </x14:formula1>
          <xm:sqref>C8</xm:sqref>
        </x14:dataValidation>
        <x14:dataValidation type="list" xr:uid="{00000000-0002-0000-0800-000003000000}">
          <x14:formula1>
            <xm:f>Database!$L$2:$L$253</xm:f>
          </x14:formula1>
          <xm:sqref>C29</xm:sqref>
        </x14:dataValidation>
        <x14:dataValidation type="list" allowBlank="1" showInputMessage="1" showErrorMessage="1" xr:uid="{D2009CE5-9E1A-43DD-B518-0347F5B472E8}">
          <x14:formula1>
            <xm:f>Database!$C$2:$C$253</xm:f>
          </x14:formula1>
          <xm:sqref>D8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E4EF-2672-472D-8413-C94A1B71DD1F}">
  <dimension ref="A1:O19"/>
  <sheetViews>
    <sheetView tabSelected="1" zoomScaleNormal="100" workbookViewId="0">
      <selection activeCell="P9" sqref="P9"/>
    </sheetView>
  </sheetViews>
  <sheetFormatPr defaultRowHeight="15" x14ac:dyDescent="0.25"/>
  <cols>
    <col min="1" max="1" width="13.140625" bestFit="1" customWidth="1"/>
    <col min="2" max="2" width="13.28515625" bestFit="1" customWidth="1"/>
    <col min="3" max="3" width="10.28515625" bestFit="1" customWidth="1"/>
    <col min="4" max="4" width="14.5703125" bestFit="1" customWidth="1"/>
    <col min="5" max="5" width="17" bestFit="1" customWidth="1"/>
    <col min="6" max="6" width="20.85546875" bestFit="1" customWidth="1"/>
    <col min="7" max="7" width="10.85546875" bestFit="1" customWidth="1"/>
    <col min="8" max="8" width="20.85546875" bestFit="1" customWidth="1"/>
    <col min="9" max="9" width="11.140625" bestFit="1" customWidth="1"/>
    <col min="10" max="10" width="13.28515625" bestFit="1" customWidth="1"/>
    <col min="11" max="11" width="7.85546875" bestFit="1" customWidth="1"/>
    <col min="12" max="12" width="14.5703125" bestFit="1" customWidth="1"/>
    <col min="13" max="13" width="17" bestFit="1" customWidth="1"/>
    <col min="14" max="14" width="15.5703125" customWidth="1"/>
    <col min="15" max="15" width="12.5703125" bestFit="1" customWidth="1"/>
  </cols>
  <sheetData>
    <row r="1" spans="1:15" x14ac:dyDescent="0.25">
      <c r="A1" s="96" t="s">
        <v>735</v>
      </c>
      <c r="B1" s="96"/>
      <c r="C1" s="96"/>
      <c r="D1" s="96"/>
      <c r="E1" s="96"/>
      <c r="F1" s="96"/>
      <c r="G1" s="96"/>
      <c r="I1" s="97" t="s">
        <v>730</v>
      </c>
      <c r="J1" s="98"/>
      <c r="K1" s="98"/>
      <c r="L1" s="98"/>
      <c r="M1" s="98"/>
      <c r="N1" s="98"/>
      <c r="O1" s="98"/>
    </row>
    <row r="2" spans="1:15" x14ac:dyDescent="0.25">
      <c r="A2" s="96"/>
      <c r="B2" s="96"/>
      <c r="C2" s="96"/>
      <c r="D2" s="96"/>
      <c r="E2" s="96"/>
      <c r="F2" s="96"/>
      <c r="G2" s="96"/>
      <c r="I2" s="98"/>
      <c r="J2" s="98"/>
      <c r="K2" s="98"/>
      <c r="L2" s="98"/>
      <c r="M2" s="98"/>
      <c r="N2" s="98"/>
      <c r="O2" s="98"/>
    </row>
    <row r="3" spans="1:15" ht="30" x14ac:dyDescent="0.25">
      <c r="A3" s="63" t="s">
        <v>106</v>
      </c>
      <c r="B3" s="63" t="s">
        <v>103</v>
      </c>
      <c r="C3" s="63" t="s">
        <v>101</v>
      </c>
      <c r="D3" s="62" t="s">
        <v>734</v>
      </c>
      <c r="E3" s="62" t="s">
        <v>714</v>
      </c>
      <c r="F3" s="62" t="s">
        <v>732</v>
      </c>
      <c r="G3" s="62" t="s">
        <v>733</v>
      </c>
      <c r="I3" s="65" t="s">
        <v>106</v>
      </c>
      <c r="J3" s="65" t="s">
        <v>103</v>
      </c>
      <c r="K3" s="65" t="s">
        <v>101</v>
      </c>
      <c r="L3" s="65" t="s">
        <v>734</v>
      </c>
      <c r="M3" s="65" t="s">
        <v>714</v>
      </c>
      <c r="N3" s="66" t="s">
        <v>732</v>
      </c>
      <c r="O3" s="65" t="s">
        <v>733</v>
      </c>
    </row>
    <row r="4" spans="1:15" x14ac:dyDescent="0.25">
      <c r="A4">
        <v>2022</v>
      </c>
      <c r="B4" t="s">
        <v>502</v>
      </c>
      <c r="C4" t="s">
        <v>198</v>
      </c>
      <c r="D4">
        <v>6</v>
      </c>
      <c r="E4">
        <v>30</v>
      </c>
      <c r="F4" s="60">
        <v>5</v>
      </c>
      <c r="G4" s="61">
        <v>2.4183796856106408E-2</v>
      </c>
      <c r="I4" s="3">
        <v>2022</v>
      </c>
      <c r="J4" s="8" t="s">
        <v>502</v>
      </c>
      <c r="K4" s="3" t="s">
        <v>198</v>
      </c>
      <c r="L4" s="64">
        <v>6</v>
      </c>
      <c r="M4" s="64">
        <v>30</v>
      </c>
      <c r="N4" s="67">
        <v>5</v>
      </c>
      <c r="O4" s="68">
        <v>2.4183796856106408E-2</v>
      </c>
    </row>
    <row r="5" spans="1:15" x14ac:dyDescent="0.25">
      <c r="C5" t="s">
        <v>271</v>
      </c>
      <c r="D5">
        <v>3</v>
      </c>
      <c r="E5">
        <v>15</v>
      </c>
      <c r="F5" s="60">
        <v>5</v>
      </c>
      <c r="G5" s="61">
        <v>1.2091898428053204E-2</v>
      </c>
      <c r="I5" s="3"/>
      <c r="J5" s="3"/>
      <c r="K5" s="3" t="s">
        <v>271</v>
      </c>
      <c r="L5" s="64">
        <v>3</v>
      </c>
      <c r="M5" s="64">
        <v>15</v>
      </c>
      <c r="N5" s="67">
        <v>5</v>
      </c>
      <c r="O5" s="68">
        <v>1.2091898428053204E-2</v>
      </c>
    </row>
    <row r="6" spans="1:15" x14ac:dyDescent="0.25">
      <c r="C6" t="s">
        <v>557</v>
      </c>
      <c r="D6">
        <v>4</v>
      </c>
      <c r="E6">
        <v>21.5</v>
      </c>
      <c r="F6" s="60">
        <v>5.375</v>
      </c>
      <c r="G6" s="61">
        <v>1.7331721080209594E-2</v>
      </c>
      <c r="I6" s="3"/>
      <c r="J6" s="3"/>
      <c r="K6" s="3" t="s">
        <v>557</v>
      </c>
      <c r="L6" s="64">
        <v>4</v>
      </c>
      <c r="M6" s="64">
        <v>21.5</v>
      </c>
      <c r="N6" s="67">
        <v>5.375</v>
      </c>
      <c r="O6" s="68">
        <v>1.7331721080209594E-2</v>
      </c>
    </row>
    <row r="7" spans="1:15" x14ac:dyDescent="0.25">
      <c r="C7" t="s">
        <v>372</v>
      </c>
      <c r="D7">
        <v>3</v>
      </c>
      <c r="E7">
        <v>15</v>
      </c>
      <c r="F7" s="60">
        <v>5</v>
      </c>
      <c r="G7" s="61">
        <v>1.2091898428053204E-2</v>
      </c>
      <c r="I7" s="3"/>
      <c r="J7" s="3"/>
      <c r="K7" s="3" t="s">
        <v>372</v>
      </c>
      <c r="L7" s="64">
        <v>3</v>
      </c>
      <c r="M7" s="64">
        <v>15</v>
      </c>
      <c r="N7" s="67">
        <v>5</v>
      </c>
      <c r="O7" s="68">
        <v>1.2091898428053204E-2</v>
      </c>
    </row>
    <row r="8" spans="1:15" x14ac:dyDescent="0.25">
      <c r="C8" t="s">
        <v>294</v>
      </c>
      <c r="D8">
        <v>4</v>
      </c>
      <c r="E8">
        <v>20</v>
      </c>
      <c r="F8" s="60">
        <v>5</v>
      </c>
      <c r="G8" s="61">
        <v>1.6122531237404272E-2</v>
      </c>
      <c r="I8" s="3"/>
      <c r="J8" s="3"/>
      <c r="K8" s="3" t="s">
        <v>294</v>
      </c>
      <c r="L8" s="64">
        <v>4</v>
      </c>
      <c r="M8" s="64">
        <v>20</v>
      </c>
      <c r="N8" s="67">
        <v>5</v>
      </c>
      <c r="O8" s="68">
        <v>1.6122531237404272E-2</v>
      </c>
    </row>
    <row r="9" spans="1:15" x14ac:dyDescent="0.25">
      <c r="C9" t="s">
        <v>117</v>
      </c>
      <c r="D9">
        <v>7</v>
      </c>
      <c r="E9">
        <v>35</v>
      </c>
      <c r="F9" s="60">
        <v>5</v>
      </c>
      <c r="G9" s="61">
        <v>2.8214429665457477E-2</v>
      </c>
      <c r="I9" s="3"/>
      <c r="J9" s="3"/>
      <c r="K9" s="3" t="s">
        <v>117</v>
      </c>
      <c r="L9" s="64">
        <v>7</v>
      </c>
      <c r="M9" s="64">
        <v>35</v>
      </c>
      <c r="N9" s="67">
        <v>5</v>
      </c>
      <c r="O9" s="68">
        <v>2.8214429665457477E-2</v>
      </c>
    </row>
    <row r="10" spans="1:15" x14ac:dyDescent="0.25">
      <c r="B10" t="s">
        <v>736</v>
      </c>
      <c r="D10">
        <v>27</v>
      </c>
      <c r="E10">
        <v>136.5</v>
      </c>
      <c r="F10" s="60">
        <v>5.0555555555555554</v>
      </c>
      <c r="G10" s="61">
        <v>0.11003627569528417</v>
      </c>
      <c r="I10" s="3"/>
      <c r="J10" s="3" t="s">
        <v>736</v>
      </c>
      <c r="K10" s="3"/>
      <c r="L10" s="64">
        <v>27</v>
      </c>
      <c r="M10" s="64">
        <v>136.5</v>
      </c>
      <c r="N10" s="67">
        <v>5.0555555555555554</v>
      </c>
      <c r="O10" s="68">
        <v>0.11003627569528417</v>
      </c>
    </row>
    <row r="11" spans="1:15" x14ac:dyDescent="0.25">
      <c r="B11" t="s">
        <v>119</v>
      </c>
      <c r="C11" t="s">
        <v>198</v>
      </c>
      <c r="D11">
        <v>73</v>
      </c>
      <c r="E11">
        <v>364</v>
      </c>
      <c r="F11" s="60">
        <v>4.9863013698630141</v>
      </c>
      <c r="G11" s="61">
        <v>0.29343006852075776</v>
      </c>
      <c r="I11" s="3"/>
      <c r="J11" s="8" t="s">
        <v>119</v>
      </c>
      <c r="K11" s="3" t="s">
        <v>198</v>
      </c>
      <c r="L11" s="64">
        <v>73</v>
      </c>
      <c r="M11" s="64">
        <v>364</v>
      </c>
      <c r="N11" s="67">
        <v>4.9863013698630141</v>
      </c>
      <c r="O11" s="68">
        <v>0.29343006852075776</v>
      </c>
    </row>
    <row r="12" spans="1:15" x14ac:dyDescent="0.25">
      <c r="C12" t="s">
        <v>271</v>
      </c>
      <c r="D12">
        <v>31</v>
      </c>
      <c r="E12">
        <v>152</v>
      </c>
      <c r="F12" s="60">
        <v>4.903225806451613</v>
      </c>
      <c r="G12" s="61">
        <v>0.12253123740427246</v>
      </c>
      <c r="I12" s="3"/>
      <c r="J12" s="3"/>
      <c r="K12" s="3" t="s">
        <v>271</v>
      </c>
      <c r="L12" s="64">
        <v>31</v>
      </c>
      <c r="M12" s="64">
        <v>152</v>
      </c>
      <c r="N12" s="67">
        <v>4.903225806451613</v>
      </c>
      <c r="O12" s="68">
        <v>0.12253123740427246</v>
      </c>
    </row>
    <row r="13" spans="1:15" x14ac:dyDescent="0.25">
      <c r="C13" t="s">
        <v>557</v>
      </c>
      <c r="D13">
        <v>2</v>
      </c>
      <c r="E13">
        <v>16</v>
      </c>
      <c r="F13" s="60">
        <v>8</v>
      </c>
      <c r="G13" s="61">
        <v>1.2898024989923419E-2</v>
      </c>
      <c r="I13" s="3"/>
      <c r="J13" s="3"/>
      <c r="K13" s="3" t="s">
        <v>557</v>
      </c>
      <c r="L13" s="64">
        <v>2</v>
      </c>
      <c r="M13" s="64">
        <v>16</v>
      </c>
      <c r="N13" s="67">
        <v>8</v>
      </c>
      <c r="O13" s="68">
        <v>1.2898024989923419E-2</v>
      </c>
    </row>
    <row r="14" spans="1:15" x14ac:dyDescent="0.25">
      <c r="C14" t="s">
        <v>372</v>
      </c>
      <c r="D14">
        <v>22</v>
      </c>
      <c r="E14">
        <v>88</v>
      </c>
      <c r="F14" s="60">
        <v>4</v>
      </c>
      <c r="G14" s="61">
        <v>7.0939137444578804E-2</v>
      </c>
      <c r="I14" s="3"/>
      <c r="J14" s="3"/>
      <c r="K14" s="3" t="s">
        <v>372</v>
      </c>
      <c r="L14" s="64">
        <v>22</v>
      </c>
      <c r="M14" s="64">
        <v>88</v>
      </c>
      <c r="N14" s="67">
        <v>4</v>
      </c>
      <c r="O14" s="68">
        <v>7.0939137444578804E-2</v>
      </c>
    </row>
    <row r="15" spans="1:15" x14ac:dyDescent="0.25">
      <c r="C15" t="s">
        <v>294</v>
      </c>
      <c r="D15">
        <v>28</v>
      </c>
      <c r="E15">
        <v>116</v>
      </c>
      <c r="F15" s="60">
        <v>4.1428571428571432</v>
      </c>
      <c r="G15" s="61">
        <v>9.3510681176944777E-2</v>
      </c>
      <c r="I15" s="3"/>
      <c r="J15" s="3"/>
      <c r="K15" s="3" t="s">
        <v>294</v>
      </c>
      <c r="L15" s="64">
        <v>28</v>
      </c>
      <c r="M15" s="64">
        <v>116</v>
      </c>
      <c r="N15" s="67">
        <v>4.1428571428571432</v>
      </c>
      <c r="O15" s="68">
        <v>9.3510681176944777E-2</v>
      </c>
    </row>
    <row r="16" spans="1:15" x14ac:dyDescent="0.25">
      <c r="C16" t="s">
        <v>117</v>
      </c>
      <c r="D16">
        <v>69</v>
      </c>
      <c r="E16">
        <v>368</v>
      </c>
      <c r="F16" s="60">
        <v>5.333333333333333</v>
      </c>
      <c r="G16" s="61">
        <v>0.29665457476823859</v>
      </c>
      <c r="I16" s="3"/>
      <c r="J16" s="3"/>
      <c r="K16" s="3" t="s">
        <v>117</v>
      </c>
      <c r="L16" s="64">
        <v>69</v>
      </c>
      <c r="M16" s="64">
        <v>368</v>
      </c>
      <c r="N16" s="67">
        <v>5.333333333333333</v>
      </c>
      <c r="O16" s="68">
        <v>0.29665457476823859</v>
      </c>
    </row>
    <row r="17" spans="1:15" x14ac:dyDescent="0.25">
      <c r="B17" t="s">
        <v>737</v>
      </c>
      <c r="D17">
        <v>225</v>
      </c>
      <c r="E17">
        <v>1104</v>
      </c>
      <c r="F17" s="60">
        <v>4.9066666666666663</v>
      </c>
      <c r="G17" s="61">
        <v>0.88996372430471582</v>
      </c>
      <c r="I17" s="3"/>
      <c r="J17" s="3" t="s">
        <v>737</v>
      </c>
      <c r="K17" s="3"/>
      <c r="L17" s="64">
        <v>225</v>
      </c>
      <c r="M17" s="64">
        <v>1104</v>
      </c>
      <c r="N17" s="67">
        <v>4.9066666666666663</v>
      </c>
      <c r="O17" s="68">
        <v>0.88996372430471582</v>
      </c>
    </row>
    <row r="18" spans="1:15" x14ac:dyDescent="0.25">
      <c r="A18" t="s">
        <v>731</v>
      </c>
      <c r="D18">
        <v>252</v>
      </c>
      <c r="E18">
        <v>1240.5</v>
      </c>
      <c r="F18" s="60">
        <v>4.9226190476190474</v>
      </c>
      <c r="G18" s="61">
        <v>1</v>
      </c>
      <c r="I18" s="3" t="s">
        <v>731</v>
      </c>
      <c r="J18" s="3"/>
      <c r="K18" s="3"/>
      <c r="L18" s="64">
        <v>252</v>
      </c>
      <c r="M18" s="64">
        <v>1240.5</v>
      </c>
      <c r="N18" s="67">
        <v>4.9226190476190474</v>
      </c>
      <c r="O18" s="68">
        <v>1</v>
      </c>
    </row>
    <row r="19" spans="1:15" x14ac:dyDescent="0.25">
      <c r="A19" t="s">
        <v>694</v>
      </c>
      <c r="D19">
        <v>252</v>
      </c>
      <c r="E19">
        <v>1240.5</v>
      </c>
      <c r="F19" s="60">
        <v>4.9226190476190474</v>
      </c>
      <c r="G19" s="61">
        <v>1</v>
      </c>
      <c r="I19" s="3" t="s">
        <v>694</v>
      </c>
      <c r="J19" s="3"/>
      <c r="K19" s="3"/>
      <c r="L19" s="64">
        <v>252</v>
      </c>
      <c r="M19" s="64">
        <v>1240.5</v>
      </c>
      <c r="N19" s="67">
        <v>4.9226190476190474</v>
      </c>
      <c r="O19" s="68">
        <v>1</v>
      </c>
    </row>
  </sheetData>
  <mergeCells count="2">
    <mergeCell ref="A1:G2"/>
    <mergeCell ref="I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Instruksi</vt:lpstr>
      <vt:lpstr>Trial 1</vt:lpstr>
      <vt:lpstr>Trial 2</vt:lpstr>
      <vt:lpstr>Trial 3</vt:lpstr>
      <vt:lpstr>Trial 4</vt:lpstr>
      <vt:lpstr>Database</vt:lpstr>
      <vt:lpstr>Trial 5</vt:lpstr>
      <vt:lpstr>3 &amp; 4 Jawaban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CIPOY -</cp:lastModifiedBy>
  <dcterms:created xsi:type="dcterms:W3CDTF">2026-10-13T05:36:14Z</dcterms:created>
  <dcterms:modified xsi:type="dcterms:W3CDTF">2026-10-15T07:45:27Z</dcterms:modified>
</cp:coreProperties>
</file>